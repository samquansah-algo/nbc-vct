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Outreach" sheetId="3" state="visible" r:id="rId3"/>
    <sheet xmlns:r="http://schemas.openxmlformats.org/officeDocument/2006/relationships" name="Contacts" sheetId="4" state="visible" r:id="rId4"/>
    <sheet xmlns:r="http://schemas.openxmlformats.org/officeDocument/2006/relationships" name="Interviews" sheetId="5" state="visible" r:id="rId5"/>
    <sheet xmlns:r="http://schemas.openxmlformats.org/officeDocument/2006/relationships" name="Insights grid" sheetId="6" state="visible" r:id="rId6"/>
    <sheet xmlns:r="http://schemas.openxmlformats.org/officeDocument/2006/relationships" name="Organisations" sheetId="7" state="visible" r:id="rId7"/>
    <sheet xmlns:r="http://schemas.openxmlformats.org/officeDocument/2006/relationships" name="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d d mmm yyyy"/>
  </numFmts>
  <fonts count="10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0"/>
    </font>
    <font>
      <name val="Arial"/>
      <b val="1"/>
      <sz val="11"/>
    </font>
    <font>
      <name val="Arial"/>
      <b val="1"/>
      <color rgb="00B3261E"/>
      <sz val="11"/>
    </font>
    <font>
      <name val="Arial"/>
      <color rgb="00006EFB"/>
      <sz val="10"/>
      <u val="single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5B5B60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81818"/>
      </patternFill>
    </fill>
  </fills>
  <borders count="2">
    <border>
      <left/>
      <right/>
      <top/>
      <bottom/>
      <diagonal/>
    </border>
    <border>
      <bottom style="thin">
        <color rgb="00E4E4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9" fontId="9" fillId="0" borderId="0" pivotButton="0" quotePrefix="0" xfId="0"/>
    <xf numFmtId="0" fontId="6" fillId="2" borderId="0" pivotButton="0" quotePrefix="0" xfId="0"/>
    <xf numFmtId="9" fontId="2" fillId="0" borderId="0" pivotButton="0" quotePrefix="0" xfId="0"/>
    <xf numFmtId="0" fontId="6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165" fontId="0" fillId="0" borderId="0" pivotButton="0" quotePrefix="0" xfId="0"/>
    <xf numFmtId="0" fontId="7" fillId="0" borderId="0" pivotButton="0" quotePrefix="0" xfId="0"/>
    <xf numFmtId="9" fontId="7" fillId="0" borderId="0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6">
    <dxf>
      <font>
        <b val="1"/>
      </font>
      <fill>
        <patternFill patternType="solid">
          <fgColor rgb="00FDE7E4"/>
        </patternFill>
      </fill>
    </dxf>
    <dxf>
      <font>
        <b val="1"/>
      </font>
      <fill>
        <patternFill patternType="solid">
          <fgColor rgb="00E6F0FF"/>
        </patternFill>
      </fill>
    </dxf>
    <dxf>
      <font>
        <b val="1"/>
      </font>
      <fill>
        <patternFill patternType="solid">
          <fgColor rgb="00E3F8EE"/>
        </patternFill>
      </fill>
    </dxf>
    <dxf>
      <font>
        <b val="1"/>
      </font>
      <fill>
        <patternFill patternType="solid">
          <fgColor rgb="00FFF4D6"/>
        </patternFill>
      </fill>
    </dxf>
    <dxf>
      <font>
        <b val="1"/>
      </font>
      <fill>
        <patternFill patternType="solid">
          <fgColor rgb="00EEEEEE"/>
        </patternFill>
      </fill>
    </dxf>
    <dxf>
      <fill>
        <patternFill patternType="solid">
          <fgColor rgb="00E3F8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E00"/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NBC · PMR CRM (market research, Fall 2026)</t>
        </is>
      </c>
    </row>
    <row r="2">
      <c r="A2" s="2" t="inlineStr">
        <is>
          <t>Tracks every watering hole, outreach message, contact and interview for the NBC market research tactic. Weeks run Wednesday to Tuesday.</t>
        </is>
      </c>
    </row>
    <row r="3">
      <c r="A3" s="2" t="inlineStr"/>
    </row>
    <row r="4">
      <c r="A4" s="3" t="inlineStr">
        <is>
          <t>HOW TO USE</t>
        </is>
      </c>
    </row>
    <row r="5">
      <c r="A5" s="2" t="inlineStr">
        <is>
          <t>1. Outreach: when you send a message, enter the Sent date and paste a screenshot link. When someone replies, enter the Reply date. Stage and Follow-up due fill in automatically.</t>
        </is>
      </c>
    </row>
    <row r="6">
      <c r="A6" s="2" t="inlineStr">
        <is>
          <t>2. Contacts: add each person who replies as a Contact ID (C11, C12…) with role and organisation. Record consent before any interview.</t>
        </is>
      </c>
    </row>
    <row r="7">
      <c r="A7" s="2" t="inlineStr">
        <is>
          <t>3. Interviews: set Status to Done after each interview, fill the notes columns the same day, and rate problems P1–P5 from 0 to 3.</t>
        </is>
      </c>
    </row>
    <row r="8">
      <c r="A8" s="2" t="inlineStr">
        <is>
          <t>4. Insights grid and Dashboard update themselves from the other tabs. Do not type in their formula cells.</t>
        </is>
      </c>
    </row>
    <row r="9">
      <c r="A9" s="2" t="inlineStr"/>
    </row>
    <row r="10">
      <c r="A10" s="3" t="inlineStr">
        <is>
          <t>STAGES (Outreach tab, automatic)</t>
        </is>
      </c>
    </row>
    <row r="11">
      <c r="A11" s="2" t="inlineStr">
        <is>
          <t>Scheduled → Sent → Follow up (no reply after 5 days) → Replied → Booked. Use Outcome for Declined or Not sent.</t>
        </is>
      </c>
    </row>
    <row r="12">
      <c r="A12" s="2" t="inlineStr"/>
    </row>
    <row r="13">
      <c r="A13" s="3" t="inlineStr">
        <is>
          <t>RATING SCALE (Interviews tab)</t>
        </is>
      </c>
    </row>
    <row r="14">
      <c r="A14" s="2" t="inlineStr">
        <is>
          <t>0 not raised · 1 raised when asked · 2 raised with an example · 3 raised unprompted, with a recent example. Confirmed problem: 6 or more of 10 rate it 2+, including at least 3 of 5 buyers.</t>
        </is>
      </c>
    </row>
    <row r="15">
      <c r="A15" s="2" t="inlineStr"/>
    </row>
    <row r="16">
      <c r="A16" s="4" t="inlineStr">
        <is>
          <t>PRIVACY</t>
        </is>
      </c>
    </row>
    <row r="17">
      <c r="A17" s="2" t="inlineStr">
        <is>
          <t>This sheet is linked from a public GitHub repository. Log people by Contact ID and role only. Keep names, emails and phone numbers in your own private address book, not here. Never contact or record children.</t>
        </is>
      </c>
    </row>
    <row r="18">
      <c r="A18" s="2" t="inlineStr"/>
    </row>
    <row r="19">
      <c r="A19" s="3" t="inlineStr">
        <is>
          <t>SOURCES ON GITHUB</t>
        </is>
      </c>
    </row>
    <row r="20">
      <c r="A20" s="5">
        <f>HYPERLINK("https://docs.google.com/spreadsheets/d/11LfHholpkKC0vhpQ7z_DvRme57lPln2jZR7Nm4EMrjg/edit","Live PMR CRM (Google Sheets)")</f>
        <v/>
      </c>
    </row>
    <row r="21">
      <c r="A21" s="5">
        <f>HYPERLINK("https://github.com/samquansah-algo/nbc-vct/blob/main/marketing/INTERVIEW_SCRIPT.md","Interview script")</f>
        <v/>
      </c>
    </row>
    <row r="22">
      <c r="A22" s="5">
        <f>HYPERLINK("https://github.com/samquansah-algo/nbc-vct/blob/main/marketing/OUTREACH_MESSAGES.md","Outreach messages v1 and v2")</f>
        <v/>
      </c>
    </row>
    <row r="23">
      <c r="A23" s="5">
        <f>HYPERLINK("https://github.com/samquansah-algo/nbc-vct/blob/main/marketing/watering_holes_v5.md","Watering holes (20, sourced)")</f>
        <v/>
      </c>
    </row>
    <row r="24">
      <c r="A24" s="5">
        <f>HYPERLINK("https://github.com/samquansah-algo/nbc-vct/blob/main/marketing/INTERVIEW_TRACKER.md","Interview tracker page")</f>
        <v/>
      </c>
    </row>
    <row r="25">
      <c r="A25" s="5">
        <f>HYPERLINK("https://github.com/samquansah-algo/nbc-vct/blob/main/tactics-milestones/DEADLINES.md","Deadlines")</f>
        <v/>
      </c>
    </row>
    <row r="26">
      <c r="A26" s="5">
        <f>HYPERLINK("https://github.com/samquansah-algo/nbc-vct","Repository")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81818"/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NBC PMR dashboard</t>
        </is>
      </c>
    </row>
    <row r="2">
      <c r="A2" s="7">
        <f>CONCATENATE("Updated automatically · today is ",TEXT(TODAY(),"ddd d mmm yyyy"))</f>
        <v/>
      </c>
    </row>
    <row r="4">
      <c r="A4" s="8" t="inlineStr">
        <is>
          <t>KEY NUMBERS</t>
        </is>
      </c>
    </row>
    <row r="5">
      <c r="A5" s="9" t="inlineStr">
        <is>
          <t>Messages planned</t>
        </is>
      </c>
      <c r="B5" s="10">
        <f>COUNTA(Outreach!$A$2:$A$200)</f>
        <v/>
      </c>
      <c r="C5" s="9" t="n"/>
      <c r="D5" s="9" t="n"/>
      <c r="E5" s="9" t="n"/>
      <c r="F5" s="9" t="n"/>
    </row>
    <row r="6">
      <c r="A6" s="9" t="inlineStr">
        <is>
          <t>Sent</t>
        </is>
      </c>
      <c r="B6" s="10">
        <f>COUNT(Outreach!$J$2:$J$200)</f>
        <v/>
      </c>
      <c r="C6" s="9" t="n"/>
      <c r="D6" s="9" t="n"/>
      <c r="E6" s="9" t="n"/>
      <c r="F6" s="9" t="n"/>
    </row>
    <row r="7">
      <c r="A7" s="9" t="inlineStr">
        <is>
          <t>Replies</t>
        </is>
      </c>
      <c r="B7" s="10">
        <f>COUNT(Outreach!$L$2:$L$200)</f>
        <v/>
      </c>
      <c r="C7" s="9" t="n"/>
      <c r="D7" s="9" t="n"/>
      <c r="E7" s="9" t="n"/>
      <c r="F7" s="9" t="n"/>
    </row>
    <row r="8">
      <c r="A8" s="9" t="inlineStr">
        <is>
          <t>Reply rate</t>
        </is>
      </c>
      <c r="B8" s="11">
        <f>IFERROR(B7/B6,0)</f>
        <v/>
      </c>
      <c r="C8" s="9" t="n"/>
      <c r="D8" s="9" t="n"/>
      <c r="E8" s="9" t="n"/>
      <c r="F8" s="9" t="n"/>
    </row>
    <row r="9">
      <c r="A9" s="9" t="inlineStr">
        <is>
          <t>Interviews booked (from outreach)</t>
        </is>
      </c>
      <c r="B9" s="10">
        <f>COUNTIF(Outreach!$P$2:$P$200,"Yes")</f>
        <v/>
      </c>
      <c r="C9" s="9" t="n"/>
      <c r="D9" s="9" t="n"/>
      <c r="E9" s="9" t="n"/>
      <c r="F9" s="9" t="n"/>
    </row>
    <row r="10">
      <c r="A10" s="9" t="inlineStr">
        <is>
          <t>Follow-ups due now</t>
        </is>
      </c>
      <c r="B10" s="10">
        <f>COUNTIF(Outreach!$S$2:$S$200,"Follow up")</f>
        <v/>
      </c>
      <c r="C10" s="9" t="n"/>
      <c r="D10" s="9" t="n"/>
      <c r="E10" s="9" t="n"/>
      <c r="F10" s="9" t="n"/>
    </row>
    <row r="11">
      <c r="A11" s="9" t="inlineStr">
        <is>
          <t>Declined</t>
        </is>
      </c>
      <c r="B11" s="10">
        <f>COUNTIF(Outreach!$R$2:$R$200,"Declined")</f>
        <v/>
      </c>
      <c r="C11" s="9" t="n"/>
      <c r="D11" s="9" t="n"/>
      <c r="E11" s="9" t="n"/>
      <c r="F11" s="9" t="n"/>
    </row>
    <row r="12">
      <c r="A12" s="9" t="n"/>
      <c r="B12" s="9" t="n"/>
      <c r="C12" s="9" t="n"/>
      <c r="D12" s="9" t="n"/>
      <c r="E12" s="9" t="n"/>
      <c r="F12" s="9" t="n"/>
    </row>
    <row r="13">
      <c r="A13" s="9" t="inlineStr">
        <is>
          <t>Interviews scheduled</t>
        </is>
      </c>
      <c r="B13" s="10">
        <f>COUNTA(Interviews!$A$2:$A$200)</f>
        <v/>
      </c>
      <c r="C13" s="9" t="n"/>
      <c r="D13" s="9" t="n"/>
      <c r="E13" s="9" t="n"/>
      <c r="F13" s="9" t="n"/>
    </row>
    <row r="14">
      <c r="A14" s="9" t="inlineStr">
        <is>
          <t>Interviews done</t>
        </is>
      </c>
      <c r="B14" s="10">
        <f>COUNTIF(Interviews!$H$2:$H$200,"Done")</f>
        <v/>
      </c>
      <c r="C14" s="9" t="n"/>
      <c r="D14" s="9" t="n"/>
      <c r="E14" s="9" t="n"/>
      <c r="F14" s="9" t="n"/>
    </row>
    <row r="15">
      <c r="A15" s="9" t="inlineStr">
        <is>
          <t>Target interviews</t>
        </is>
      </c>
      <c r="B15" s="10" t="n">
        <v>10</v>
      </c>
      <c r="C15" s="9" t="n"/>
      <c r="D15" s="9" t="n"/>
      <c r="E15" s="9" t="n"/>
      <c r="F15" s="9" t="n"/>
    </row>
    <row r="16">
      <c r="A16" s="9" t="inlineStr">
        <is>
          <t>Progress to target</t>
        </is>
      </c>
      <c r="B16" s="11">
        <f>IFERROR(B14/B15,0)</f>
        <v/>
      </c>
      <c r="C16" s="9" t="n"/>
      <c r="D16" s="9" t="n"/>
      <c r="E16" s="9" t="n"/>
      <c r="F16" s="9" t="n"/>
    </row>
    <row r="17">
      <c r="A17" s="9" t="n"/>
      <c r="B17" s="9" t="n"/>
      <c r="C17" s="9" t="n"/>
      <c r="D17" s="9" t="n"/>
      <c r="E17" s="9" t="n"/>
      <c r="F17" s="9" t="n"/>
    </row>
    <row r="18">
      <c r="A18" s="9" t="inlineStr">
        <is>
          <t>Problems confirmed (of 5)</t>
        </is>
      </c>
      <c r="B18" s="10">
        <f>COUNTIF('Insights grid'!$D$37:$H$37,"Confirmed")</f>
        <v/>
      </c>
      <c r="C18" s="9" t="n"/>
      <c r="D18" s="9" t="n"/>
      <c r="E18" s="9" t="n"/>
      <c r="F18" s="9" t="n"/>
    </row>
    <row r="19">
      <c r="A19" s="9" t="n"/>
      <c r="B19" s="9" t="n"/>
      <c r="C19" s="9" t="n"/>
      <c r="D19" s="9" t="n"/>
      <c r="E19" s="9" t="n"/>
      <c r="F19" s="9" t="n"/>
    </row>
    <row r="20">
      <c r="A20" s="8" t="inlineStr">
        <is>
          <t>BY VERSION</t>
        </is>
      </c>
      <c r="B20" s="9" t="n"/>
      <c r="C20" s="9" t="n"/>
      <c r="D20" s="9" t="n"/>
      <c r="E20" s="9" t="n"/>
      <c r="F20" s="9" t="n"/>
    </row>
    <row r="21">
      <c r="A21" s="12" t="inlineStr">
        <is>
          <t>Version</t>
        </is>
      </c>
      <c r="B21" s="12" t="inlineStr">
        <is>
          <t>Planned</t>
        </is>
      </c>
      <c r="C21" s="12" t="inlineStr">
        <is>
          <t>Sent</t>
        </is>
      </c>
      <c r="D21" s="12" t="inlineStr">
        <is>
          <t>Replies</t>
        </is>
      </c>
      <c r="E21" s="12" t="inlineStr">
        <is>
          <t>Reply rate</t>
        </is>
      </c>
      <c r="F21" s="12" t="inlineStr">
        <is>
          <t>Booked</t>
        </is>
      </c>
    </row>
    <row r="22">
      <c r="A22" s="9" t="inlineStr">
        <is>
          <t>v1</t>
        </is>
      </c>
      <c r="B22" s="9">
        <f>COUNTIF(Outreach!$B$2:$B$200,A22)</f>
        <v/>
      </c>
      <c r="C22" s="9">
        <f>COUNTIFS(Outreach!$B$2:$B$200,A22,Outreach!$J$2:$J$200,"&lt;&gt;")</f>
        <v/>
      </c>
      <c r="D22" s="9">
        <f>COUNTIFS(Outreach!$B$2:$B$200,A22,Outreach!$L$2:$L$200,"&lt;&gt;")</f>
        <v/>
      </c>
      <c r="E22" s="13">
        <f>IFERROR(D22/C22,0)</f>
        <v/>
      </c>
      <c r="F22" s="9">
        <f>COUNTIFS(Outreach!$B$2:$B$200,A22,Outreach!$P$2:$P$200,"Yes")</f>
        <v/>
      </c>
    </row>
    <row r="23">
      <c r="A23" s="9" t="inlineStr">
        <is>
          <t>v2</t>
        </is>
      </c>
      <c r="B23" s="9">
        <f>COUNTIF(Outreach!$B$2:$B$200,A23)</f>
        <v/>
      </c>
      <c r="C23" s="9">
        <f>COUNTIFS(Outreach!$B$2:$B$200,A23,Outreach!$J$2:$J$200,"&lt;&gt;")</f>
        <v/>
      </c>
      <c r="D23" s="9">
        <f>COUNTIFS(Outreach!$B$2:$B$200,A23,Outreach!$L$2:$L$200,"&lt;&gt;")</f>
        <v/>
      </c>
      <c r="E23" s="13">
        <f>IFERROR(D23/C23,0)</f>
        <v/>
      </c>
      <c r="F23" s="9">
        <f>COUNTIFS(Outreach!$B$2:$B$200,A23,Outreach!$P$2:$P$200,"Yes")</f>
        <v/>
      </c>
    </row>
    <row r="24">
      <c r="A24" s="9" t="n"/>
      <c r="B24" s="9" t="n"/>
      <c r="C24" s="9" t="n"/>
      <c r="D24" s="9" t="n"/>
      <c r="E24" s="9" t="n"/>
      <c r="F24" s="9" t="n"/>
    </row>
    <row r="25">
      <c r="A25" s="8" t="inlineStr">
        <is>
          <t>BY CHANNEL</t>
        </is>
      </c>
      <c r="B25" s="9" t="n"/>
      <c r="C25" s="9" t="n"/>
      <c r="D25" s="9" t="n"/>
      <c r="E25" s="9" t="n"/>
      <c r="F25" s="9" t="n"/>
    </row>
    <row r="26">
      <c r="A26" s="12" t="inlineStr">
        <is>
          <t>Channel</t>
        </is>
      </c>
      <c r="B26" s="12" t="inlineStr">
        <is>
          <t>Planned</t>
        </is>
      </c>
      <c r="C26" s="12" t="inlineStr">
        <is>
          <t>Sent</t>
        </is>
      </c>
      <c r="D26" s="12" t="inlineStr">
        <is>
          <t>Replies</t>
        </is>
      </c>
      <c r="E26" s="12" t="inlineStr">
        <is>
          <t>Reply rate</t>
        </is>
      </c>
      <c r="F26" s="12" t="inlineStr">
        <is>
          <t>Booked</t>
        </is>
      </c>
    </row>
    <row r="27">
      <c r="A27" s="9" t="inlineStr">
        <is>
          <t>Email</t>
        </is>
      </c>
      <c r="B27" s="9">
        <f>COUNTIF(Outreach!$E$2:$E$200,A27)</f>
        <v/>
      </c>
      <c r="C27" s="9">
        <f>COUNTIFS(Outreach!$E$2:$E$200,A27,Outreach!$J$2:$J$200,"&lt;&gt;")</f>
        <v/>
      </c>
      <c r="D27" s="9">
        <f>COUNTIFS(Outreach!$E$2:$E$200,A27,Outreach!$L$2:$L$200,"&lt;&gt;")</f>
        <v/>
      </c>
      <c r="E27" s="13">
        <f>IFERROR(D27/C27,0)</f>
        <v/>
      </c>
      <c r="F27" s="9">
        <f>COUNTIFS(Outreach!$E$2:$E$200,A27,Outreach!$P$2:$P$200,"Yes")</f>
        <v/>
      </c>
    </row>
    <row r="28">
      <c r="A28" s="9" t="inlineStr">
        <is>
          <t>Formal letter</t>
        </is>
      </c>
      <c r="B28" s="9">
        <f>COUNTIF(Outreach!$E$2:$E$200,A28)</f>
        <v/>
      </c>
      <c r="C28" s="9">
        <f>COUNTIFS(Outreach!$E$2:$E$200,A28,Outreach!$J$2:$J$200,"&lt;&gt;")</f>
        <v/>
      </c>
      <c r="D28" s="9">
        <f>COUNTIFS(Outreach!$E$2:$E$200,A28,Outreach!$L$2:$L$200,"&lt;&gt;")</f>
        <v/>
      </c>
      <c r="E28" s="13">
        <f>IFERROR(D28/C28,0)</f>
        <v/>
      </c>
      <c r="F28" s="9">
        <f>COUNTIFS(Outreach!$E$2:$E$200,A28,Outreach!$P$2:$P$200,"Yes")</f>
        <v/>
      </c>
    </row>
    <row r="29">
      <c r="A29" s="9" t="inlineStr">
        <is>
          <t>Facebook group</t>
        </is>
      </c>
      <c r="B29" s="9">
        <f>COUNTIF(Outreach!$E$2:$E$200,A29)</f>
        <v/>
      </c>
      <c r="C29" s="9">
        <f>COUNTIFS(Outreach!$E$2:$E$200,A29,Outreach!$J$2:$J$200,"&lt;&gt;")</f>
        <v/>
      </c>
      <c r="D29" s="9">
        <f>COUNTIFS(Outreach!$E$2:$E$200,A29,Outreach!$L$2:$L$200,"&lt;&gt;")</f>
        <v/>
      </c>
      <c r="E29" s="13">
        <f>IFERROR(D29/C29,0)</f>
        <v/>
      </c>
      <c r="F29" s="9">
        <f>COUNTIFS(Outreach!$E$2:$E$200,A29,Outreach!$P$2:$P$200,"Yes")</f>
        <v/>
      </c>
    </row>
    <row r="30">
      <c r="A30" s="9" t="inlineStr">
        <is>
          <t>Community post</t>
        </is>
      </c>
      <c r="B30" s="9">
        <f>COUNTIF(Outreach!$E$2:$E$200,A30)</f>
        <v/>
      </c>
      <c r="C30" s="9">
        <f>COUNTIFS(Outreach!$E$2:$E$200,A30,Outreach!$J$2:$J$200,"&lt;&gt;")</f>
        <v/>
      </c>
      <c r="D30" s="9">
        <f>COUNTIFS(Outreach!$E$2:$E$200,A30,Outreach!$L$2:$L$200,"&lt;&gt;")</f>
        <v/>
      </c>
      <c r="E30" s="13">
        <f>IFERROR(D30/C30,0)</f>
        <v/>
      </c>
      <c r="F30" s="9">
        <f>COUNTIFS(Outreach!$E$2:$E$200,A30,Outreach!$P$2:$P$200,"Yes")</f>
        <v/>
      </c>
    </row>
    <row r="31">
      <c r="A31" s="9" t="inlineStr">
        <is>
          <t>LinkedIn</t>
        </is>
      </c>
      <c r="B31" s="9">
        <f>COUNTIF(Outreach!$E$2:$E$200,A31)</f>
        <v/>
      </c>
      <c r="C31" s="9">
        <f>COUNTIFS(Outreach!$E$2:$E$200,A31,Outreach!$J$2:$J$200,"&lt;&gt;")</f>
        <v/>
      </c>
      <c r="D31" s="9">
        <f>COUNTIFS(Outreach!$E$2:$E$200,A31,Outreach!$L$2:$L$200,"&lt;&gt;")</f>
        <v/>
      </c>
      <c r="E31" s="13">
        <f>IFERROR(D31/C31,0)</f>
        <v/>
      </c>
      <c r="F31" s="9">
        <f>COUNTIFS(Outreach!$E$2:$E$200,A31,Outreach!$P$2:$P$200,"Yes")</f>
        <v/>
      </c>
    </row>
    <row r="32">
      <c r="A32" s="9" t="inlineStr">
        <is>
          <t>Forum / DM</t>
        </is>
      </c>
      <c r="B32" s="9">
        <f>COUNTIF(Outreach!$E$2:$E$200,A32)</f>
        <v/>
      </c>
      <c r="C32" s="9">
        <f>COUNTIFS(Outreach!$E$2:$E$200,A32,Outreach!$J$2:$J$200,"&lt;&gt;")</f>
        <v/>
      </c>
      <c r="D32" s="9">
        <f>COUNTIFS(Outreach!$E$2:$E$200,A32,Outreach!$L$2:$L$200,"&lt;&gt;")</f>
        <v/>
      </c>
      <c r="E32" s="13">
        <f>IFERROR(D32/C32,0)</f>
        <v/>
      </c>
      <c r="F32" s="9">
        <f>COUNTIFS(Outreach!$E$2:$E$200,A32,Outreach!$P$2:$P$200,"Yes")</f>
        <v/>
      </c>
    </row>
    <row r="33">
      <c r="A33" s="9" t="inlineStr">
        <is>
          <t>Reddit</t>
        </is>
      </c>
      <c r="B33" s="9">
        <f>COUNTIF(Outreach!$E$2:$E$200,A33)</f>
        <v/>
      </c>
      <c r="C33" s="9">
        <f>COUNTIFS(Outreach!$E$2:$E$200,A33,Outreach!$J$2:$J$200,"&lt;&gt;")</f>
        <v/>
      </c>
      <c r="D33" s="9">
        <f>COUNTIFS(Outreach!$E$2:$E$200,A33,Outreach!$L$2:$L$200,"&lt;&gt;")</f>
        <v/>
      </c>
      <c r="E33" s="13">
        <f>IFERROR(D33/C33,0)</f>
        <v/>
      </c>
      <c r="F33" s="9">
        <f>COUNTIFS(Outreach!$E$2:$E$200,A33,Outreach!$P$2:$P$200,"Yes")</f>
        <v/>
      </c>
    </row>
    <row r="34">
      <c r="A34" s="9" t="inlineStr">
        <is>
          <t>In person</t>
        </is>
      </c>
      <c r="B34" s="9">
        <f>COUNTIF(Outreach!$E$2:$E$200,A34)</f>
        <v/>
      </c>
      <c r="C34" s="9">
        <f>COUNTIFS(Outreach!$E$2:$E$200,A34,Outreach!$J$2:$J$200,"&lt;&gt;")</f>
        <v/>
      </c>
      <c r="D34" s="9">
        <f>COUNTIFS(Outreach!$E$2:$E$200,A34,Outreach!$L$2:$L$200,"&lt;&gt;")</f>
        <v/>
      </c>
      <c r="E34" s="13">
        <f>IFERROR(D34/C34,0)</f>
        <v/>
      </c>
      <c r="F34" s="9">
        <f>COUNTIFS(Outreach!$E$2:$E$200,A34,Outreach!$P$2:$P$200,"Yes")</f>
        <v/>
      </c>
    </row>
    <row r="35">
      <c r="A35" s="9" t="inlineStr">
        <is>
          <t>Same as v1</t>
        </is>
      </c>
      <c r="B35" s="9">
        <f>COUNTIF(Outreach!$E$2:$E$200,A35)</f>
        <v/>
      </c>
      <c r="C35" s="9">
        <f>COUNTIFS(Outreach!$E$2:$E$200,A35,Outreach!$J$2:$J$200,"&lt;&gt;")</f>
        <v/>
      </c>
      <c r="D35" s="9">
        <f>COUNTIFS(Outreach!$E$2:$E$200,A35,Outreach!$L$2:$L$200,"&lt;&gt;")</f>
        <v/>
      </c>
      <c r="E35" s="13">
        <f>IFERROR(D35/C35,0)</f>
        <v/>
      </c>
      <c r="F35" s="9">
        <f>COUNTIFS(Outreach!$E$2:$E$200,A35,Outreach!$P$2:$P$200,"Yes")</f>
        <v/>
      </c>
    </row>
    <row r="36">
      <c r="A36" s="9" t="n"/>
      <c r="B36" s="9" t="n"/>
      <c r="C36" s="9" t="n"/>
      <c r="D36" s="9" t="n"/>
      <c r="E36" s="9" t="n"/>
      <c r="F36" s="9" t="n"/>
    </row>
    <row r="37">
      <c r="A37" s="8" t="inlineStr">
        <is>
          <t>BY SEGMENT (interviews)</t>
        </is>
      </c>
      <c r="B37" s="9" t="n"/>
      <c r="C37" s="9" t="n"/>
      <c r="D37" s="9" t="n"/>
      <c r="E37" s="9" t="n"/>
      <c r="F37" s="9" t="n"/>
    </row>
    <row r="38">
      <c r="A38" s="12" t="inlineStr">
        <is>
          <t>Segment</t>
        </is>
      </c>
      <c r="B38" s="12" t="inlineStr">
        <is>
          <t>Scheduled</t>
        </is>
      </c>
      <c r="C38" s="12" t="inlineStr">
        <is>
          <t>Done</t>
        </is>
      </c>
      <c r="D38" s="9" t="n"/>
      <c r="E38" s="9" t="n"/>
      <c r="F38" s="9" t="n"/>
    </row>
    <row r="39">
      <c r="A39" s="9" t="inlineStr">
        <is>
          <t>Buyer</t>
        </is>
      </c>
      <c r="B39" s="9">
        <f>COUNTIF(Interviews!$D$2:$D$200,A39)</f>
        <v/>
      </c>
      <c r="C39" s="9">
        <f>COUNTIFS(Interviews!$D$2:$D$200,A39,Interviews!$H$2:$H$200,"Done")</f>
        <v/>
      </c>
      <c r="D39" s="9" t="n"/>
      <c r="E39" s="9" t="n"/>
      <c r="F39" s="9" t="n"/>
    </row>
    <row r="40">
      <c r="A40" s="9" t="inlineStr">
        <is>
          <t>User</t>
        </is>
      </c>
      <c r="B40" s="9">
        <f>COUNTIF(Interviews!$D$2:$D$200,A40)</f>
        <v/>
      </c>
      <c r="C40" s="9">
        <f>COUNTIFS(Interviews!$D$2:$D$200,A40,Interviews!$H$2:$H$200,"Done")</f>
        <v/>
      </c>
      <c r="D40" s="9" t="n"/>
      <c r="E40" s="9" t="n"/>
      <c r="F40" s="9" t="n"/>
    </row>
    <row r="41">
      <c r="A41" s="9" t="inlineStr">
        <is>
          <t>Host</t>
        </is>
      </c>
      <c r="B41" s="9">
        <f>COUNTIF(Interviews!$D$2:$D$200,A41)</f>
        <v/>
      </c>
      <c r="C41" s="9">
        <f>COUNTIFS(Interviews!$D$2:$D$200,A41,Interviews!$H$2:$H$200,"Done")</f>
        <v/>
      </c>
      <c r="D41" s="9" t="n"/>
      <c r="E41" s="9" t="n"/>
      <c r="F41" s="9" t="n"/>
    </row>
    <row r="42">
      <c r="A42" s="9" t="inlineStr">
        <is>
          <t>Research</t>
        </is>
      </c>
      <c r="B42" s="9">
        <f>COUNTIF(Interviews!$D$2:$D$200,A42)</f>
        <v/>
      </c>
      <c r="C42" s="9">
        <f>COUNTIFS(Interviews!$D$2:$D$200,A42,Interviews!$H$2:$H$200,"Done")</f>
        <v/>
      </c>
      <c r="D42" s="9" t="n"/>
      <c r="E42" s="9" t="n"/>
      <c r="F42" s="9" t="n"/>
    </row>
    <row r="43">
      <c r="A43" s="9" t="n"/>
      <c r="B43" s="9" t="n"/>
      <c r="C43" s="9" t="n"/>
      <c r="D43" s="9" t="n"/>
      <c r="E43" s="9" t="n"/>
      <c r="F43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E00"/>
    <outlinePr summaryBelow="1" summaryRight="1"/>
    <pageSetUpPr/>
  </sheetPr>
  <dimension ref="A1:T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6" customWidth="1" min="4" max="4"/>
    <col width="16" customWidth="1" min="5" max="5"/>
    <col width="22" customWidth="1" min="6" max="6"/>
    <col width="36" customWidth="1" min="7" max="7"/>
    <col width="14" customWidth="1" min="8" max="8"/>
    <col width="14" customWidth="1" min="9" max="9"/>
    <col width="14" customWidth="1" min="10" max="10"/>
    <col width="18" customWidth="1" min="11" max="11"/>
    <col width="14" customWidth="1" min="12" max="12"/>
    <col width="10" customWidth="1" min="13" max="13"/>
    <col width="14" customWidth="1" min="14" max="14"/>
    <col width="14" customWidth="1" min="15" max="15"/>
    <col width="11" customWidth="1" min="16" max="16"/>
    <col width="11" customWidth="1" min="17" max="17"/>
    <col width="12" customWidth="1" min="18" max="18"/>
    <col width="18" customWidth="1" min="19" max="19"/>
    <col width="28" customWidth="1" min="20" max="20"/>
  </cols>
  <sheetData>
    <row r="1" ht="32" customHeight="1">
      <c r="A1" s="14" t="inlineStr">
        <is>
          <t>Msg ID</t>
        </is>
      </c>
      <c r="B1" s="14" t="inlineStr">
        <is>
          <t>Version</t>
        </is>
      </c>
      <c r="C1" s="14" t="inlineStr">
        <is>
          <t>Org ID</t>
        </is>
      </c>
      <c r="D1" s="14" t="inlineStr">
        <is>
          <t>Organisation</t>
        </is>
      </c>
      <c r="E1" s="14" t="inlineStr">
        <is>
          <t>Channel</t>
        </is>
      </c>
      <c r="F1" s="14" t="inlineStr">
        <is>
          <t>Audience</t>
        </is>
      </c>
      <c r="G1" s="14" t="inlineStr">
        <is>
          <t>To / where</t>
        </is>
      </c>
      <c r="H1" s="14" t="inlineStr">
        <is>
          <t>Message text</t>
        </is>
      </c>
      <c r="I1" s="14" t="inlineStr">
        <is>
          <t>Scheduled</t>
        </is>
      </c>
      <c r="J1" s="14" t="inlineStr">
        <is>
          <t>Sent date</t>
        </is>
      </c>
      <c r="K1" s="14" t="inlineStr">
        <is>
          <t>Screenshot link</t>
        </is>
      </c>
      <c r="L1" s="14" t="inlineStr">
        <is>
          <t>Reply date</t>
        </is>
      </c>
      <c r="M1" s="14" t="inlineStr">
        <is>
          <t>Days to reply</t>
        </is>
      </c>
      <c r="N1" s="14" t="inlineStr">
        <is>
          <t>Follow-up due</t>
        </is>
      </c>
      <c r="O1" s="14" t="inlineStr">
        <is>
          <t>Follow-up sent</t>
        </is>
      </c>
      <c r="P1" s="14" t="inlineStr">
        <is>
          <t>Interview booked?</t>
        </is>
      </c>
      <c r="Q1" s="14" t="inlineStr">
        <is>
          <t>Interview ID</t>
        </is>
      </c>
      <c r="R1" s="14" t="inlineStr">
        <is>
          <t>Outcome</t>
        </is>
      </c>
      <c r="S1" s="14" t="inlineStr">
        <is>
          <t>Stage (auto)</t>
        </is>
      </c>
      <c r="T1" s="14" t="inlineStr">
        <is>
          <t>Notes</t>
        </is>
      </c>
    </row>
    <row r="2">
      <c r="A2" s="15" t="inlineStr">
        <is>
          <t>P1</t>
        </is>
      </c>
      <c r="B2" s="15" t="inlineStr">
        <is>
          <t>v1</t>
        </is>
      </c>
      <c r="C2" s="15" t="inlineStr">
        <is>
          <t>G2</t>
        </is>
      </c>
      <c r="D2" s="15">
        <f>IF(C2="","",IFERROR(VLOOKUP(C2,Organisations!$A:$B,2,FALSE),""))</f>
        <v/>
      </c>
      <c r="E2" s="15" t="inlineStr">
        <is>
          <t>Email</t>
        </is>
      </c>
      <c r="F2" s="15" t="inlineStr">
        <is>
          <t>GRAF / club owner</t>
        </is>
      </c>
      <c r="G2" s="15" t="inlineStr">
        <is>
          <t>Ghana Robotics Academy Foundation (website contact)</t>
        </is>
      </c>
      <c r="H2" s="15">
        <f>HYPERLINK("https://github.com/samquansah-algo/nbc-vct/blob/main/marketing/OUTREACH_MESSAGES.md#v1-first-messages","Open message")</f>
        <v/>
      </c>
      <c r="I2" s="16" t="n">
        <v>46293</v>
      </c>
      <c r="J2" s="16" t="n"/>
      <c r="K2" s="15" t="n"/>
      <c r="L2" s="16" t="n"/>
      <c r="M2" s="15">
        <f>IF(AND(J2&lt;&gt;"",L2&lt;&gt;""),L2-J2,"")</f>
        <v/>
      </c>
      <c r="N2" s="16">
        <f>IF(AND(J2&lt;&gt;"",L2=""),J2+5,"")</f>
        <v/>
      </c>
      <c r="O2" s="16" t="n"/>
      <c r="P2" s="15" t="n"/>
      <c r="Q2" s="15" t="n"/>
      <c r="R2" s="15" t="inlineStr">
        <is>
          <t>Open</t>
        </is>
      </c>
      <c r="S2" s="15">
        <f>IF(R2&lt;&gt;"Open",R2,IF(P2="Yes","Booked",IF(L2&lt;&gt;"","Replied",IF(J2="","Scheduled",IF(TODAY()&gt;J2+5,"Follow up","Sent")))))</f>
        <v/>
      </c>
      <c r="T2" s="15" t="inlineStr"/>
    </row>
    <row r="3">
      <c r="A3" s="15" t="inlineStr">
        <is>
          <t>P2</t>
        </is>
      </c>
      <c r="B3" s="15" t="inlineStr">
        <is>
          <t>v1</t>
        </is>
      </c>
      <c r="C3" s="15" t="inlineStr">
        <is>
          <t>G1</t>
        </is>
      </c>
      <c r="D3" s="15">
        <f>IF(C3="","",IFERROR(VLOOKUP(C3,Organisations!$A:$B,2,FALSE),""))</f>
        <v/>
      </c>
      <c r="E3" s="15" t="inlineStr">
        <is>
          <t>Email</t>
        </is>
      </c>
      <c r="F3" s="15" t="inlineStr">
        <is>
          <t>Ghana Code Club</t>
        </is>
      </c>
      <c r="G3" s="15" t="inlineStr">
        <is>
          <t>Ghana Code Club team</t>
        </is>
      </c>
      <c r="H3" s="15">
        <f>HYPERLINK("https://github.com/samquansah-algo/nbc-vct/blob/main/marketing/OUTREACH_MESSAGES.md#v1-first-messages","Open message")</f>
        <v/>
      </c>
      <c r="I3" s="16" t="n">
        <v>46293</v>
      </c>
      <c r="J3" s="16" t="n"/>
      <c r="K3" s="15" t="n"/>
      <c r="L3" s="16" t="n"/>
      <c r="M3" s="15">
        <f>IF(AND(J3&lt;&gt;"",L3&lt;&gt;""),L3-J3,"")</f>
        <v/>
      </c>
      <c r="N3" s="16">
        <f>IF(AND(J3&lt;&gt;"",L3=""),J3+5,"")</f>
        <v/>
      </c>
      <c r="O3" s="16" t="n"/>
      <c r="P3" s="15" t="n"/>
      <c r="Q3" s="15" t="n"/>
      <c r="R3" s="15" t="inlineStr">
        <is>
          <t>Open</t>
        </is>
      </c>
      <c r="S3" s="15">
        <f>IF(R3&lt;&gt;"Open",R3,IF(P3="Yes","Booked",IF(L3&lt;&gt;"","Replied",IF(J3="","Scheduled",IF(TODAY()&gt;J3+5,"Follow up","Sent")))))</f>
        <v/>
      </c>
      <c r="T3" s="15" t="inlineStr"/>
    </row>
    <row r="4">
      <c r="A4" s="15" t="inlineStr">
        <is>
          <t>P3</t>
        </is>
      </c>
      <c r="B4" s="15" t="inlineStr">
        <is>
          <t>v1</t>
        </is>
      </c>
      <c r="C4" s="15" t="inlineStr">
        <is>
          <t>G3</t>
        </is>
      </c>
      <c r="D4" s="15">
        <f>IF(C4="","",IFERROR(VLOOKUP(C4,Organisations!$A:$B,2,FALSE),""))</f>
        <v/>
      </c>
      <c r="E4" s="15" t="inlineStr">
        <is>
          <t>Formal letter</t>
        </is>
      </c>
      <c r="F4" s="15" t="inlineStr">
        <is>
          <t>Ghana Library Authority</t>
        </is>
      </c>
      <c r="G4" s="15" t="inlineStr">
        <is>
          <t>Ghana Library Authority, Programme Office</t>
        </is>
      </c>
      <c r="H4" s="15">
        <f>HYPERLINK("https://github.com/samquansah-algo/nbc-vct/blob/main/marketing/OUTREACH_MESSAGES.md#v1-first-messages","Open message")</f>
        <v/>
      </c>
      <c r="I4" s="16" t="n">
        <v>46293</v>
      </c>
      <c r="J4" s="16" t="n"/>
      <c r="K4" s="15" t="n"/>
      <c r="L4" s="16" t="n"/>
      <c r="M4" s="15">
        <f>IF(AND(J4&lt;&gt;"",L4&lt;&gt;""),L4-J4,"")</f>
        <v/>
      </c>
      <c r="N4" s="16">
        <f>IF(AND(J4&lt;&gt;"",L4=""),J4+5,"")</f>
        <v/>
      </c>
      <c r="O4" s="16" t="n"/>
      <c r="P4" s="15" t="n"/>
      <c r="Q4" s="15" t="n"/>
      <c r="R4" s="15" t="inlineStr">
        <is>
          <t>Open</t>
        </is>
      </c>
      <c r="S4" s="15">
        <f>IF(R4&lt;&gt;"Open",R4,IF(P4="Yes","Booked",IF(L4&lt;&gt;"","Replied",IF(J4="","Scheduled",IF(TODAY()&gt;J4+5,"Follow up","Sent")))))</f>
        <v/>
      </c>
      <c r="T4" s="15" t="inlineStr"/>
    </row>
    <row r="5">
      <c r="A5" s="15" t="inlineStr">
        <is>
          <t>P4</t>
        </is>
      </c>
      <c r="B5" s="15" t="inlineStr">
        <is>
          <t>v1</t>
        </is>
      </c>
      <c r="C5" s="15" t="inlineStr">
        <is>
          <t>F1</t>
        </is>
      </c>
      <c r="D5" s="15">
        <f>IF(C5="","",IFERROR(VLOOKUP(C5,Organisations!$A:$B,2,FALSE),""))</f>
        <v/>
      </c>
      <c r="E5" s="15" t="inlineStr">
        <is>
          <t>Facebook group</t>
        </is>
      </c>
      <c r="F5" s="15" t="inlineStr">
        <is>
          <t>Participatory Library group</t>
        </is>
      </c>
      <c r="G5" s="15" t="inlineStr">
        <is>
          <t>MakerSpaces and the Participatory Library</t>
        </is>
      </c>
      <c r="H5" s="15">
        <f>HYPERLINK("https://github.com/samquansah-algo/nbc-vct/blob/main/marketing/OUTREACH_MESSAGES.md#v1-first-messages","Open message")</f>
        <v/>
      </c>
      <c r="I5" s="16" t="n">
        <v>46294</v>
      </c>
      <c r="J5" s="16" t="n"/>
      <c r="K5" s="15" t="n"/>
      <c r="L5" s="16" t="n"/>
      <c r="M5" s="15">
        <f>IF(AND(J5&lt;&gt;"",L5&lt;&gt;""),L5-J5,"")</f>
        <v/>
      </c>
      <c r="N5" s="16">
        <f>IF(AND(J5&lt;&gt;"",L5=""),J5+5,"")</f>
        <v/>
      </c>
      <c r="O5" s="16" t="n"/>
      <c r="P5" s="15" t="n"/>
      <c r="Q5" s="15" t="n"/>
      <c r="R5" s="15" t="inlineStr">
        <is>
          <t>Open</t>
        </is>
      </c>
      <c r="S5" s="15">
        <f>IF(R5&lt;&gt;"Open",R5,IF(P5="Yes","Booked",IF(L5&lt;&gt;"","Replied",IF(J5="","Scheduled",IF(TODAY()&gt;J5+5,"Follow up","Sent")))))</f>
        <v/>
      </c>
      <c r="T5" s="15" t="inlineStr"/>
    </row>
    <row r="6">
      <c r="A6" s="15" t="inlineStr">
        <is>
          <t>P5</t>
        </is>
      </c>
      <c r="B6" s="15" t="inlineStr">
        <is>
          <t>v1</t>
        </is>
      </c>
      <c r="C6" s="15" t="inlineStr">
        <is>
          <t>R1</t>
        </is>
      </c>
      <c r="D6" s="15">
        <f>IF(C6="","",IFERROR(VLOOKUP(C6,Organisations!$A:$B,2,FALSE),""))</f>
        <v/>
      </c>
      <c r="E6" s="15" t="inlineStr">
        <is>
          <t>Email</t>
        </is>
      </c>
      <c r="F6" s="15" t="inlineStr">
        <is>
          <t>Learning-sciences researcher</t>
        </is>
      </c>
      <c r="G6" s="15" t="inlineStr">
        <is>
          <t>a learning-sciences researcher (ISLS)</t>
        </is>
      </c>
      <c r="H6" s="15">
        <f>HYPERLINK("https://github.com/samquansah-algo/nbc-vct/blob/main/marketing/OUTREACH_MESSAGES.md#v1-first-messages","Open message")</f>
        <v/>
      </c>
      <c r="I6" s="16" t="n">
        <v>46293</v>
      </c>
      <c r="J6" s="16" t="n"/>
      <c r="K6" s="15" t="n"/>
      <c r="L6" s="16" t="n"/>
      <c r="M6" s="15">
        <f>IF(AND(J6&lt;&gt;"",L6&lt;&gt;""),L6-J6,"")</f>
        <v/>
      </c>
      <c r="N6" s="16">
        <f>IF(AND(J6&lt;&gt;"",L6=""),J6+5,"")</f>
        <v/>
      </c>
      <c r="O6" s="16" t="n"/>
      <c r="P6" s="15" t="n"/>
      <c r="Q6" s="15" t="n"/>
      <c r="R6" s="15" t="inlineStr">
        <is>
          <t>Open</t>
        </is>
      </c>
      <c r="S6" s="15">
        <f>IF(R6&lt;&gt;"Open",R6,IF(P6="Yes","Booked",IF(L6&lt;&gt;"","Replied",IF(J6="","Scheduled",IF(TODAY()&gt;J6+5,"Follow up","Sent")))))</f>
        <v/>
      </c>
      <c r="T6" s="15" t="inlineStr"/>
    </row>
    <row r="7">
      <c r="A7" s="15" t="inlineStr">
        <is>
          <t>R1</t>
        </is>
      </c>
      <c r="B7" s="15" t="inlineStr">
        <is>
          <t>v1</t>
        </is>
      </c>
      <c r="C7" s="15" t="inlineStr">
        <is>
          <t>M1</t>
        </is>
      </c>
      <c r="D7" s="15">
        <f>IF(C7="","",IFERROR(VLOOKUP(C7,Organisations!$A:$B,2,FALSE),""))</f>
        <v/>
      </c>
      <c r="E7" s="15" t="inlineStr">
        <is>
          <t>Community post</t>
        </is>
      </c>
      <c r="F7" s="15" t="inlineStr">
        <is>
          <t>Facilitator community</t>
        </is>
      </c>
      <c r="G7" s="15" t="inlineStr">
        <is>
          <t>micro:bit Champions community</t>
        </is>
      </c>
      <c r="H7" s="15">
        <f>HYPERLINK("https://github.com/samquansah-algo/nbc-vct/blob/main/marketing/OUTREACH_MESSAGES.md#v1-first-messages","Open message")</f>
        <v/>
      </c>
      <c r="I7" s="16" t="n">
        <v>46294</v>
      </c>
      <c r="J7" s="16" t="n"/>
      <c r="K7" s="15" t="n"/>
      <c r="L7" s="16" t="n"/>
      <c r="M7" s="15">
        <f>IF(AND(J7&lt;&gt;"",L7&lt;&gt;""),L7-J7,"")</f>
        <v/>
      </c>
      <c r="N7" s="16">
        <f>IF(AND(J7&lt;&gt;"",L7=""),J7+5,"")</f>
        <v/>
      </c>
      <c r="O7" s="16" t="n"/>
      <c r="P7" s="15" t="n"/>
      <c r="Q7" s="15" t="n"/>
      <c r="R7" s="15" t="inlineStr">
        <is>
          <t>Open</t>
        </is>
      </c>
      <c r="S7" s="15">
        <f>IF(R7&lt;&gt;"Open",R7,IF(P7="Yes","Booked",IF(L7&lt;&gt;"","Replied",IF(J7="","Scheduled",IF(TODAY()&gt;J7+5,"Follow up","Sent")))))</f>
        <v/>
      </c>
      <c r="T7" s="15" t="inlineStr"/>
    </row>
    <row r="8">
      <c r="A8" s="15" t="inlineStr">
        <is>
          <t>R2</t>
        </is>
      </c>
      <c r="B8" s="15" t="inlineStr">
        <is>
          <t>v1</t>
        </is>
      </c>
      <c r="C8" s="15" t="inlineStr">
        <is>
          <t>G5</t>
        </is>
      </c>
      <c r="D8" s="15">
        <f>IF(C8="","",IFERROR(VLOOKUP(C8,Organisations!$A:$B,2,FALSE),""))</f>
        <v/>
      </c>
      <c r="E8" s="15" t="inlineStr">
        <is>
          <t>LinkedIn</t>
        </is>
      </c>
      <c r="F8" s="15" t="inlineStr">
        <is>
          <t>Programme owner</t>
        </is>
      </c>
      <c r="G8" s="15" t="inlineStr">
        <is>
          <t>a programme owner (e.g. The MakersPlace)</t>
        </is>
      </c>
      <c r="H8" s="15">
        <f>HYPERLINK("https://github.com/samquansah-algo/nbc-vct/blob/main/marketing/OUTREACH_MESSAGES.md#v1-first-messages","Open message")</f>
        <v/>
      </c>
      <c r="I8" s="16" t="n">
        <v>46294</v>
      </c>
      <c r="J8" s="16" t="n"/>
      <c r="K8" s="15" t="n"/>
      <c r="L8" s="16" t="n"/>
      <c r="M8" s="15">
        <f>IF(AND(J8&lt;&gt;"",L8&lt;&gt;""),L8-J8,"")</f>
        <v/>
      </c>
      <c r="N8" s="16">
        <f>IF(AND(J8&lt;&gt;"",L8=""),J8+5,"")</f>
        <v/>
      </c>
      <c r="O8" s="16" t="n"/>
      <c r="P8" s="15" t="n"/>
      <c r="Q8" s="15" t="n"/>
      <c r="R8" s="15" t="inlineStr">
        <is>
          <t>Open</t>
        </is>
      </c>
      <c r="S8" s="15">
        <f>IF(R8&lt;&gt;"Open",R8,IF(P8="Yes","Booked",IF(L8&lt;&gt;"","Replied",IF(J8="","Scheduled",IF(TODAY()&gt;J8+5,"Follow up","Sent")))))</f>
        <v/>
      </c>
      <c r="T8" s="15" t="inlineStr"/>
    </row>
    <row r="9">
      <c r="A9" s="15" t="inlineStr">
        <is>
          <t>R3</t>
        </is>
      </c>
      <c r="B9" s="15" t="inlineStr">
        <is>
          <t>v1</t>
        </is>
      </c>
      <c r="C9" s="15" t="inlineStr">
        <is>
          <t>M2</t>
        </is>
      </c>
      <c r="D9" s="15">
        <f>IF(C9="","",IFERROR(VLOOKUP(C9,Organisations!$A:$B,2,FALSE),""))</f>
        <v/>
      </c>
      <c r="E9" s="15" t="inlineStr">
        <is>
          <t>Forum / DM</t>
        </is>
      </c>
      <c r="F9" s="15" t="inlineStr">
        <is>
          <t>Makerspace practitioner</t>
        </is>
      </c>
      <c r="G9" s="15" t="inlineStr">
        <is>
          <t>Scratch Educator Meetups</t>
        </is>
      </c>
      <c r="H9" s="15">
        <f>HYPERLINK("https://github.com/samquansah-algo/nbc-vct/blob/main/marketing/OUTREACH_MESSAGES.md#v1-first-messages","Open message")</f>
        <v/>
      </c>
      <c r="I9" s="16" t="n">
        <v>46294</v>
      </c>
      <c r="J9" s="16" t="n"/>
      <c r="K9" s="15" t="n"/>
      <c r="L9" s="16" t="n"/>
      <c r="M9" s="15">
        <f>IF(AND(J9&lt;&gt;"",L9&lt;&gt;""),L9-J9,"")</f>
        <v/>
      </c>
      <c r="N9" s="16">
        <f>IF(AND(J9&lt;&gt;"",L9=""),J9+5,"")</f>
        <v/>
      </c>
      <c r="O9" s="16" t="n"/>
      <c r="P9" s="15" t="n"/>
      <c r="Q9" s="15" t="n"/>
      <c r="R9" s="15" t="inlineStr">
        <is>
          <t>Open</t>
        </is>
      </c>
      <c r="S9" s="15">
        <f>IF(R9&lt;&gt;"Open",R9,IF(P9="Yes","Booked",IF(L9&lt;&gt;"","Replied",IF(J9="","Scheduled",IF(TODAY()&gt;J9+5,"Follow up","Sent")))))</f>
        <v/>
      </c>
      <c r="T9" s="15" t="inlineStr"/>
    </row>
    <row r="10">
      <c r="A10" s="15" t="inlineStr">
        <is>
          <t>R4</t>
        </is>
      </c>
      <c r="B10" s="15" t="inlineStr">
        <is>
          <t>v1</t>
        </is>
      </c>
      <c r="C10" s="15" t="inlineStr">
        <is>
          <t>T3</t>
        </is>
      </c>
      <c r="D10" s="15">
        <f>IF(C10="","",IFERROR(VLOOKUP(C10,Organisations!$A:$B,2,FALSE),""))</f>
        <v/>
      </c>
      <c r="E10" s="15" t="inlineStr">
        <is>
          <t>Reddit</t>
        </is>
      </c>
      <c r="F10" s="15" t="inlineStr">
        <is>
          <t>Parent community</t>
        </is>
      </c>
      <c r="G10" s="15" t="inlineStr">
        <is>
          <t>r/homeschool</t>
        </is>
      </c>
      <c r="H10" s="15">
        <f>HYPERLINK("https://github.com/samquansah-algo/nbc-vct/blob/main/marketing/OUTREACH_MESSAGES.md#v1-first-messages","Open message")</f>
        <v/>
      </c>
      <c r="I10" s="16" t="n">
        <v>46294</v>
      </c>
      <c r="J10" s="16" t="n"/>
      <c r="K10" s="15" t="n"/>
      <c r="L10" s="16" t="n"/>
      <c r="M10" s="15">
        <f>IF(AND(J10&lt;&gt;"",L10&lt;&gt;""),L10-J10,"")</f>
        <v/>
      </c>
      <c r="N10" s="16">
        <f>IF(AND(J10&lt;&gt;"",L10=""),J10+5,"")</f>
        <v/>
      </c>
      <c r="O10" s="16" t="n"/>
      <c r="P10" s="15" t="n"/>
      <c r="Q10" s="15" t="n"/>
      <c r="R10" s="15" t="inlineStr">
        <is>
          <t>Open</t>
        </is>
      </c>
      <c r="S10" s="15">
        <f>IF(R10&lt;&gt;"Open",R10,IF(P10="Yes","Booked",IF(L10&lt;&gt;"","Replied",IF(J10="","Scheduled",IF(TODAY()&gt;J10+5,"Follow up","Sent")))))</f>
        <v/>
      </c>
      <c r="T10" s="15" t="inlineStr"/>
    </row>
    <row r="11">
      <c r="A11" s="15" t="inlineStr">
        <is>
          <t>R5</t>
        </is>
      </c>
      <c r="B11" s="15" t="inlineStr">
        <is>
          <t>v1</t>
        </is>
      </c>
      <c r="C11" s="15" t="inlineStr">
        <is>
          <t>R1</t>
        </is>
      </c>
      <c r="D11" s="15">
        <f>IF(C11="","",IFERROR(VLOOKUP(C11,Organisations!$A:$B,2,FALSE),""))</f>
        <v/>
      </c>
      <c r="E11" s="15" t="inlineStr">
        <is>
          <t>Email</t>
        </is>
      </c>
      <c r="F11" s="15" t="inlineStr">
        <is>
          <t>Assessment researcher</t>
        </is>
      </c>
      <c r="G11" s="15" t="inlineStr">
        <is>
          <t>an assessment researcher (ISLS)</t>
        </is>
      </c>
      <c r="H11" s="15">
        <f>HYPERLINK("https://github.com/samquansah-algo/nbc-vct/blob/main/marketing/OUTREACH_MESSAGES.md#v1-first-messages","Open message")</f>
        <v/>
      </c>
      <c r="I11" s="16" t="n">
        <v>46293</v>
      </c>
      <c r="J11" s="16" t="n"/>
      <c r="K11" s="15" t="n"/>
      <c r="L11" s="16" t="n"/>
      <c r="M11" s="15">
        <f>IF(AND(J11&lt;&gt;"",L11&lt;&gt;""),L11-J11,"")</f>
        <v/>
      </c>
      <c r="N11" s="16">
        <f>IF(AND(J11&lt;&gt;"",L11=""),J11+5,"")</f>
        <v/>
      </c>
      <c r="O11" s="16" t="n"/>
      <c r="P11" s="15" t="n"/>
      <c r="Q11" s="15" t="n"/>
      <c r="R11" s="15" t="inlineStr">
        <is>
          <t>Open</t>
        </is>
      </c>
      <c r="S11" s="15">
        <f>IF(R11&lt;&gt;"Open",R11,IF(P11="Yes","Booked",IF(L11&lt;&gt;"","Replied",IF(J11="","Scheduled",IF(TODAY()&gt;J11+5,"Follow up","Sent")))))</f>
        <v/>
      </c>
      <c r="T11" s="15" t="inlineStr"/>
    </row>
    <row r="12">
      <c r="A12" s="15" t="inlineStr">
        <is>
          <t>CC1</t>
        </is>
      </c>
      <c r="B12" s="15" t="inlineStr">
        <is>
          <t>v1</t>
        </is>
      </c>
      <c r="C12" s="15" t="inlineStr">
        <is>
          <t>CC</t>
        </is>
      </c>
      <c r="D12" s="15">
        <f>IF(C12="","",IFERROR(VLOOKUP(C12,Organisations!$A:$B,2,FALSE),""))</f>
        <v/>
      </c>
      <c r="E12" s="15" t="inlineStr">
        <is>
          <t>In person</t>
        </is>
      </c>
      <c r="F12" s="15" t="inlineStr">
        <is>
          <t>Cape Coast programme owners</t>
        </is>
      </c>
      <c r="G12" s="15" t="inlineStr">
        <is>
          <t>After-school and club owners, in person</t>
        </is>
      </c>
      <c r="H12" s="15" t="inlineStr"/>
      <c r="I12" s="16" t="n">
        <v>46293</v>
      </c>
      <c r="J12" s="16" t="n"/>
      <c r="K12" s="15" t="n"/>
      <c r="L12" s="16" t="n"/>
      <c r="M12" s="15">
        <f>IF(AND(J12&lt;&gt;"",L12&lt;&gt;""),L12-J12,"")</f>
        <v/>
      </c>
      <c r="N12" s="16">
        <f>IF(AND(J12&lt;&gt;"",L12=""),J12+5,"")</f>
        <v/>
      </c>
      <c r="O12" s="16" t="n"/>
      <c r="P12" s="15" t="n"/>
      <c r="Q12" s="15" t="n"/>
      <c r="R12" s="15" t="inlineStr">
        <is>
          <t>Open</t>
        </is>
      </c>
      <c r="S12" s="15">
        <f>IF(R12&lt;&gt;"Open",R12,IF(P12="Yes","Booked",IF(L12&lt;&gt;"","Replied",IF(J12="","Scheduled",IF(TODAY()&gt;J12+5,"Follow up","Sent")))))</f>
        <v/>
      </c>
      <c r="T12" s="15" t="inlineStr"/>
    </row>
    <row r="13">
      <c r="A13" s="15" t="inlineStr">
        <is>
          <t>CC2</t>
        </is>
      </c>
      <c r="B13" s="15" t="inlineStr">
        <is>
          <t>v1</t>
        </is>
      </c>
      <c r="C13" s="15" t="inlineStr">
        <is>
          <t>CC</t>
        </is>
      </c>
      <c r="D13" s="15">
        <f>IF(C13="","",IFERROR(VLOOKUP(C13,Organisations!$A:$B,2,FALSE),""))</f>
        <v/>
      </c>
      <c r="E13" s="15" t="inlineStr">
        <is>
          <t>In person</t>
        </is>
      </c>
      <c r="F13" s="15" t="inlineStr">
        <is>
          <t>Cape Coast programme owners</t>
        </is>
      </c>
      <c r="G13" s="15" t="inlineStr">
        <is>
          <t>After-school and club owners, in person</t>
        </is>
      </c>
      <c r="H13" s="15" t="inlineStr"/>
      <c r="I13" s="16" t="n">
        <v>46294</v>
      </c>
      <c r="J13" s="16" t="n"/>
      <c r="K13" s="15" t="n"/>
      <c r="L13" s="16" t="n"/>
      <c r="M13" s="15">
        <f>IF(AND(J13&lt;&gt;"",L13&lt;&gt;""),L13-J13,"")</f>
        <v/>
      </c>
      <c r="N13" s="16">
        <f>IF(AND(J13&lt;&gt;"",L13=""),J13+5,"")</f>
        <v/>
      </c>
      <c r="O13" s="16" t="n"/>
      <c r="P13" s="15" t="n"/>
      <c r="Q13" s="15" t="n"/>
      <c r="R13" s="15" t="inlineStr">
        <is>
          <t>Open</t>
        </is>
      </c>
      <c r="S13" s="15">
        <f>IF(R13&lt;&gt;"Open",R13,IF(P13="Yes","Booked",IF(L13&lt;&gt;"","Replied",IF(J13="","Scheduled",IF(TODAY()&gt;J13+5,"Follow up","Sent")))))</f>
        <v/>
      </c>
      <c r="T13" s="15" t="inlineStr"/>
    </row>
    <row r="14">
      <c r="A14" s="15" t="inlineStr">
        <is>
          <t>P1-v2</t>
        </is>
      </c>
      <c r="B14" s="15" t="inlineStr">
        <is>
          <t>v2</t>
        </is>
      </c>
      <c r="C14" s="15" t="inlineStr">
        <is>
          <t>G2</t>
        </is>
      </c>
      <c r="D14" s="15">
        <f>IF(C14="","",IFERROR(VLOOKUP(C14,Organisations!$A:$B,2,FALSE),""))</f>
        <v/>
      </c>
      <c r="E14" s="15" t="inlineStr">
        <is>
          <t>Email</t>
        </is>
      </c>
      <c r="F14" s="15" t="inlineStr">
        <is>
          <t>GRAF / club owner</t>
        </is>
      </c>
      <c r="G14" s="15" t="inlineStr">
        <is>
          <t>Ghana Robotics Academy Foundation (website contact)</t>
        </is>
      </c>
      <c r="H14" s="15">
        <f>HYPERLINK("https://github.com/samquansah-algo/nbc-vct/blob/main/marketing/OUTREACH_MESSAGES.md#v2-refined-messages","Open message")</f>
        <v/>
      </c>
      <c r="I14" s="16" t="n">
        <v>46295</v>
      </c>
      <c r="J14" s="16" t="n"/>
      <c r="K14" s="15" t="n"/>
      <c r="L14" s="16" t="n"/>
      <c r="M14" s="15">
        <f>IF(AND(J14&lt;&gt;"",L14&lt;&gt;""),L14-J14,"")</f>
        <v/>
      </c>
      <c r="N14" s="16">
        <f>IF(AND(J14&lt;&gt;"",L14=""),J14+5,"")</f>
        <v/>
      </c>
      <c r="O14" s="16" t="n"/>
      <c r="P14" s="15" t="n"/>
      <c r="Q14" s="15" t="n"/>
      <c r="R14" s="15" t="inlineStr">
        <is>
          <t>Open</t>
        </is>
      </c>
      <c r="S14" s="15">
        <f>IF(R14&lt;&gt;"Open",R14,IF(P14="Yes","Booked",IF(L14&lt;&gt;"","Replied",IF(J14="","Scheduled",IF(TODAY()&gt;J14+5,"Follow up","Sent")))))</f>
        <v/>
      </c>
      <c r="T14" s="15" t="inlineStr"/>
    </row>
    <row r="15">
      <c r="A15" s="15" t="inlineStr">
        <is>
          <t>P2-v2</t>
        </is>
      </c>
      <c r="B15" s="15" t="inlineStr">
        <is>
          <t>v2</t>
        </is>
      </c>
      <c r="C15" s="15" t="inlineStr">
        <is>
          <t>G1</t>
        </is>
      </c>
      <c r="D15" s="15">
        <f>IF(C15="","",IFERROR(VLOOKUP(C15,Organisations!$A:$B,2,FALSE),""))</f>
        <v/>
      </c>
      <c r="E15" s="15" t="inlineStr">
        <is>
          <t>Email</t>
        </is>
      </c>
      <c r="F15" s="15" t="inlineStr">
        <is>
          <t>Ghana Code Club</t>
        </is>
      </c>
      <c r="G15" s="15" t="inlineStr">
        <is>
          <t>Ghana Code Club team</t>
        </is>
      </c>
      <c r="H15" s="15">
        <f>HYPERLINK("https://github.com/samquansah-algo/nbc-vct/blob/main/marketing/OUTREACH_MESSAGES.md#v2-refined-messages","Open message")</f>
        <v/>
      </c>
      <c r="I15" s="16" t="n">
        <v>46295</v>
      </c>
      <c r="J15" s="16" t="n"/>
      <c r="K15" s="15" t="n"/>
      <c r="L15" s="16" t="n"/>
      <c r="M15" s="15">
        <f>IF(AND(J15&lt;&gt;"",L15&lt;&gt;""),L15-J15,"")</f>
        <v/>
      </c>
      <c r="N15" s="16">
        <f>IF(AND(J15&lt;&gt;"",L15=""),J15+5,"")</f>
        <v/>
      </c>
      <c r="O15" s="16" t="n"/>
      <c r="P15" s="15" t="n"/>
      <c r="Q15" s="15" t="n"/>
      <c r="R15" s="15" t="inlineStr">
        <is>
          <t>Open</t>
        </is>
      </c>
      <c r="S15" s="15">
        <f>IF(R15&lt;&gt;"Open",R15,IF(P15="Yes","Booked",IF(L15&lt;&gt;"","Replied",IF(J15="","Scheduled",IF(TODAY()&gt;J15+5,"Follow up","Sent")))))</f>
        <v/>
      </c>
      <c r="T15" s="15" t="inlineStr"/>
    </row>
    <row r="16">
      <c r="A16" s="15" t="inlineStr">
        <is>
          <t>P3-v2</t>
        </is>
      </c>
      <c r="B16" s="15" t="inlineStr">
        <is>
          <t>v2</t>
        </is>
      </c>
      <c r="C16" s="15" t="inlineStr">
        <is>
          <t>G3</t>
        </is>
      </c>
      <c r="D16" s="15">
        <f>IF(C16="","",IFERROR(VLOOKUP(C16,Organisations!$A:$B,2,FALSE),""))</f>
        <v/>
      </c>
      <c r="E16" s="15" t="inlineStr">
        <is>
          <t>Formal letter</t>
        </is>
      </c>
      <c r="F16" s="15" t="inlineStr">
        <is>
          <t>Ghana Library Authority</t>
        </is>
      </c>
      <c r="G16" s="15" t="inlineStr">
        <is>
          <t>Ghana Library Authority, Programme Office</t>
        </is>
      </c>
      <c r="H16" s="15">
        <f>HYPERLINK("https://github.com/samquansah-algo/nbc-vct/blob/main/marketing/OUTREACH_MESSAGES.md#v2-refined-messages","Open message")</f>
        <v/>
      </c>
      <c r="I16" s="16" t="n">
        <v>46296</v>
      </c>
      <c r="J16" s="16" t="n"/>
      <c r="K16" s="15" t="n"/>
      <c r="L16" s="16" t="n"/>
      <c r="M16" s="15">
        <f>IF(AND(J16&lt;&gt;"",L16&lt;&gt;""),L16-J16,"")</f>
        <v/>
      </c>
      <c r="N16" s="16">
        <f>IF(AND(J16&lt;&gt;"",L16=""),J16+5,"")</f>
        <v/>
      </c>
      <c r="O16" s="16" t="n"/>
      <c r="P16" s="15" t="n"/>
      <c r="Q16" s="15" t="n"/>
      <c r="R16" s="15" t="inlineStr">
        <is>
          <t>Open</t>
        </is>
      </c>
      <c r="S16" s="15">
        <f>IF(R16&lt;&gt;"Open",R16,IF(P16="Yes","Booked",IF(L16&lt;&gt;"","Replied",IF(J16="","Scheduled",IF(TODAY()&gt;J16+5,"Follow up","Sent")))))</f>
        <v/>
      </c>
      <c r="T16" s="15" t="inlineStr"/>
    </row>
    <row r="17">
      <c r="A17" s="15" t="inlineStr">
        <is>
          <t>P4-v2</t>
        </is>
      </c>
      <c r="B17" s="15" t="inlineStr">
        <is>
          <t>v2</t>
        </is>
      </c>
      <c r="C17" s="15" t="inlineStr">
        <is>
          <t>F1</t>
        </is>
      </c>
      <c r="D17" s="15">
        <f>IF(C17="","",IFERROR(VLOOKUP(C17,Organisations!$A:$B,2,FALSE),""))</f>
        <v/>
      </c>
      <c r="E17" s="15" t="inlineStr">
        <is>
          <t>Facebook group</t>
        </is>
      </c>
      <c r="F17" s="15" t="inlineStr">
        <is>
          <t>Participatory Library group</t>
        </is>
      </c>
      <c r="G17" s="15" t="inlineStr">
        <is>
          <t>MakerSpaces and the Participatory Library</t>
        </is>
      </c>
      <c r="H17" s="15">
        <f>HYPERLINK("https://github.com/samquansah-algo/nbc-vct/blob/main/marketing/OUTREACH_MESSAGES.md#v2-refined-messages","Open message")</f>
        <v/>
      </c>
      <c r="I17" s="16" t="n">
        <v>46296</v>
      </c>
      <c r="J17" s="16" t="n"/>
      <c r="K17" s="15" t="n"/>
      <c r="L17" s="16" t="n"/>
      <c r="M17" s="15">
        <f>IF(AND(J17&lt;&gt;"",L17&lt;&gt;""),L17-J17,"")</f>
        <v/>
      </c>
      <c r="N17" s="16">
        <f>IF(AND(J17&lt;&gt;"",L17=""),J17+5,"")</f>
        <v/>
      </c>
      <c r="O17" s="16" t="n"/>
      <c r="P17" s="15" t="n"/>
      <c r="Q17" s="15" t="n"/>
      <c r="R17" s="15" t="inlineStr">
        <is>
          <t>Open</t>
        </is>
      </c>
      <c r="S17" s="15">
        <f>IF(R17&lt;&gt;"Open",R17,IF(P17="Yes","Booked",IF(L17&lt;&gt;"","Replied",IF(J17="","Scheduled",IF(TODAY()&gt;J17+5,"Follow up","Sent")))))</f>
        <v/>
      </c>
      <c r="T17" s="15" t="inlineStr"/>
    </row>
    <row r="18">
      <c r="A18" s="15" t="inlineStr">
        <is>
          <t>P5-v2</t>
        </is>
      </c>
      <c r="B18" s="15" t="inlineStr">
        <is>
          <t>v2</t>
        </is>
      </c>
      <c r="C18" s="15" t="inlineStr">
        <is>
          <t>R1</t>
        </is>
      </c>
      <c r="D18" s="15">
        <f>IF(C18="","",IFERROR(VLOOKUP(C18,Organisations!$A:$B,2,FALSE),""))</f>
        <v/>
      </c>
      <c r="E18" s="15" t="inlineStr">
        <is>
          <t>Email</t>
        </is>
      </c>
      <c r="F18" s="15" t="inlineStr">
        <is>
          <t>Learning-sciences researcher</t>
        </is>
      </c>
      <c r="G18" s="15" t="inlineStr">
        <is>
          <t>a learning-sciences researcher (ISLS)</t>
        </is>
      </c>
      <c r="H18" s="15">
        <f>HYPERLINK("https://github.com/samquansah-algo/nbc-vct/blob/main/marketing/OUTREACH_MESSAGES.md#v2-refined-messages","Open message")</f>
        <v/>
      </c>
      <c r="I18" s="16" t="n">
        <v>46297</v>
      </c>
      <c r="J18" s="16" t="n"/>
      <c r="K18" s="15" t="n"/>
      <c r="L18" s="16" t="n"/>
      <c r="M18" s="15">
        <f>IF(AND(J18&lt;&gt;"",L18&lt;&gt;""),L18-J18,"")</f>
        <v/>
      </c>
      <c r="N18" s="16">
        <f>IF(AND(J18&lt;&gt;"",L18=""),J18+5,"")</f>
        <v/>
      </c>
      <c r="O18" s="16" t="n"/>
      <c r="P18" s="15" t="n"/>
      <c r="Q18" s="15" t="n"/>
      <c r="R18" s="15" t="inlineStr">
        <is>
          <t>Open</t>
        </is>
      </c>
      <c r="S18" s="15">
        <f>IF(R18&lt;&gt;"Open",R18,IF(P18="Yes","Booked",IF(L18&lt;&gt;"","Replied",IF(J18="","Scheduled",IF(TODAY()&gt;J18+5,"Follow up","Sent")))))</f>
        <v/>
      </c>
      <c r="T18" s="15" t="inlineStr"/>
    </row>
    <row r="19">
      <c r="A19" s="15" t="inlineStr">
        <is>
          <t>R1-v2</t>
        </is>
      </c>
      <c r="B19" s="15" t="inlineStr">
        <is>
          <t>v2</t>
        </is>
      </c>
      <c r="C19" s="15" t="inlineStr">
        <is>
          <t>M1</t>
        </is>
      </c>
      <c r="D19" s="15">
        <f>IF(C19="","",IFERROR(VLOOKUP(C19,Organisations!$A:$B,2,FALSE),""))</f>
        <v/>
      </c>
      <c r="E19" s="15" t="inlineStr">
        <is>
          <t>Community post</t>
        </is>
      </c>
      <c r="F19" s="15" t="inlineStr">
        <is>
          <t>Facilitator community</t>
        </is>
      </c>
      <c r="G19" s="15" t="inlineStr">
        <is>
          <t>micro:bit Champions community</t>
        </is>
      </c>
      <c r="H19" s="15">
        <f>HYPERLINK("https://github.com/samquansah-algo/nbc-vct/blob/main/marketing/OUTREACH_MESSAGES.md#v2-refined-messages","Open message")</f>
        <v/>
      </c>
      <c r="I19" s="16" t="n">
        <v>46297</v>
      </c>
      <c r="J19" s="16" t="n"/>
      <c r="K19" s="15" t="n"/>
      <c r="L19" s="16" t="n"/>
      <c r="M19" s="15">
        <f>IF(AND(J19&lt;&gt;"",L19&lt;&gt;""),L19-J19,"")</f>
        <v/>
      </c>
      <c r="N19" s="16">
        <f>IF(AND(J19&lt;&gt;"",L19=""),J19+5,"")</f>
        <v/>
      </c>
      <c r="O19" s="16" t="n"/>
      <c r="P19" s="15" t="n"/>
      <c r="Q19" s="15" t="n"/>
      <c r="R19" s="15" t="inlineStr">
        <is>
          <t>Open</t>
        </is>
      </c>
      <c r="S19" s="15">
        <f>IF(R19&lt;&gt;"Open",R19,IF(P19="Yes","Booked",IF(L19&lt;&gt;"","Replied",IF(J19="","Scheduled",IF(TODAY()&gt;J19+5,"Follow up","Sent")))))</f>
        <v/>
      </c>
      <c r="T19" s="15" t="inlineStr"/>
    </row>
    <row r="20">
      <c r="A20" s="15" t="inlineStr">
        <is>
          <t>R2-v2</t>
        </is>
      </c>
      <c r="B20" s="15" t="inlineStr">
        <is>
          <t>v2</t>
        </is>
      </c>
      <c r="C20" s="15" t="inlineStr">
        <is>
          <t>G5</t>
        </is>
      </c>
      <c r="D20" s="15">
        <f>IF(C20="","",IFERROR(VLOOKUP(C20,Organisations!$A:$B,2,FALSE),""))</f>
        <v/>
      </c>
      <c r="E20" s="15" t="inlineStr">
        <is>
          <t>LinkedIn</t>
        </is>
      </c>
      <c r="F20" s="15" t="inlineStr">
        <is>
          <t>Programme owner</t>
        </is>
      </c>
      <c r="G20" s="15" t="inlineStr">
        <is>
          <t>a programme owner (e.g. The MakersPlace)</t>
        </is>
      </c>
      <c r="H20" s="15">
        <f>HYPERLINK("https://github.com/samquansah-algo/nbc-vct/blob/main/marketing/OUTREACH_MESSAGES.md#v2-refined-messages","Open message")</f>
        <v/>
      </c>
      <c r="I20" s="16" t="n">
        <v>46297</v>
      </c>
      <c r="J20" s="16" t="n"/>
      <c r="K20" s="15" t="n"/>
      <c r="L20" s="16" t="n"/>
      <c r="M20" s="15">
        <f>IF(AND(J20&lt;&gt;"",L20&lt;&gt;""),L20-J20,"")</f>
        <v/>
      </c>
      <c r="N20" s="16">
        <f>IF(AND(J20&lt;&gt;"",L20=""),J20+5,"")</f>
        <v/>
      </c>
      <c r="O20" s="16" t="n"/>
      <c r="P20" s="15" t="n"/>
      <c r="Q20" s="15" t="n"/>
      <c r="R20" s="15" t="inlineStr">
        <is>
          <t>Open</t>
        </is>
      </c>
      <c r="S20" s="15">
        <f>IF(R20&lt;&gt;"Open",R20,IF(P20="Yes","Booked",IF(L20&lt;&gt;"","Replied",IF(J20="","Scheduled",IF(TODAY()&gt;J20+5,"Follow up","Sent")))))</f>
        <v/>
      </c>
      <c r="T20" s="15" t="inlineStr"/>
    </row>
    <row r="21">
      <c r="A21" s="15" t="inlineStr">
        <is>
          <t>R3-v2</t>
        </is>
      </c>
      <c r="B21" s="15" t="inlineStr">
        <is>
          <t>v2</t>
        </is>
      </c>
      <c r="C21" s="15" t="inlineStr">
        <is>
          <t>M2</t>
        </is>
      </c>
      <c r="D21" s="15">
        <f>IF(C21="","",IFERROR(VLOOKUP(C21,Organisations!$A:$B,2,FALSE),""))</f>
        <v/>
      </c>
      <c r="E21" s="15" t="inlineStr">
        <is>
          <t>Forum / DM</t>
        </is>
      </c>
      <c r="F21" s="15" t="inlineStr">
        <is>
          <t>Makerspace practitioner</t>
        </is>
      </c>
      <c r="G21" s="15" t="inlineStr">
        <is>
          <t>Scratch Educator Meetups</t>
        </is>
      </c>
      <c r="H21" s="15">
        <f>HYPERLINK("https://github.com/samquansah-algo/nbc-vct/blob/main/marketing/OUTREACH_MESSAGES.md#v2-refined-messages","Open message")</f>
        <v/>
      </c>
      <c r="I21" s="16" t="n">
        <v>46300</v>
      </c>
      <c r="J21" s="16" t="n"/>
      <c r="K21" s="15" t="n"/>
      <c r="L21" s="16" t="n"/>
      <c r="M21" s="15">
        <f>IF(AND(J21&lt;&gt;"",L21&lt;&gt;""),L21-J21,"")</f>
        <v/>
      </c>
      <c r="N21" s="16">
        <f>IF(AND(J21&lt;&gt;"",L21=""),J21+5,"")</f>
        <v/>
      </c>
      <c r="O21" s="16" t="n"/>
      <c r="P21" s="15" t="n"/>
      <c r="Q21" s="15" t="n"/>
      <c r="R21" s="15" t="inlineStr">
        <is>
          <t>Open</t>
        </is>
      </c>
      <c r="S21" s="15">
        <f>IF(R21&lt;&gt;"Open",R21,IF(P21="Yes","Booked",IF(L21&lt;&gt;"","Replied",IF(J21="","Scheduled",IF(TODAY()&gt;J21+5,"Follow up","Sent")))))</f>
        <v/>
      </c>
      <c r="T21" s="15" t="inlineStr"/>
    </row>
    <row r="22">
      <c r="A22" s="15" t="inlineStr">
        <is>
          <t>R4-v2</t>
        </is>
      </c>
      <c r="B22" s="15" t="inlineStr">
        <is>
          <t>v2</t>
        </is>
      </c>
      <c r="C22" s="15" t="inlineStr">
        <is>
          <t>T3</t>
        </is>
      </c>
      <c r="D22" s="15">
        <f>IF(C22="","",IFERROR(VLOOKUP(C22,Organisations!$A:$B,2,FALSE),""))</f>
        <v/>
      </c>
      <c r="E22" s="15" t="inlineStr">
        <is>
          <t>Reddit</t>
        </is>
      </c>
      <c r="F22" s="15" t="inlineStr">
        <is>
          <t>Parent community</t>
        </is>
      </c>
      <c r="G22" s="15" t="inlineStr">
        <is>
          <t>r/homeschool</t>
        </is>
      </c>
      <c r="H22" s="15">
        <f>HYPERLINK("https://github.com/samquansah-algo/nbc-vct/blob/main/marketing/OUTREACH_MESSAGES.md#v2-refined-messages","Open message")</f>
        <v/>
      </c>
      <c r="I22" s="16" t="n">
        <v>46300</v>
      </c>
      <c r="J22" s="16" t="n"/>
      <c r="K22" s="15" t="n"/>
      <c r="L22" s="16" t="n"/>
      <c r="M22" s="15">
        <f>IF(AND(J22&lt;&gt;"",L22&lt;&gt;""),L22-J22,"")</f>
        <v/>
      </c>
      <c r="N22" s="16">
        <f>IF(AND(J22&lt;&gt;"",L22=""),J22+5,"")</f>
        <v/>
      </c>
      <c r="O22" s="16" t="n"/>
      <c r="P22" s="15" t="n"/>
      <c r="Q22" s="15" t="n"/>
      <c r="R22" s="15" t="inlineStr">
        <is>
          <t>Open</t>
        </is>
      </c>
      <c r="S22" s="15">
        <f>IF(R22&lt;&gt;"Open",R22,IF(P22="Yes","Booked",IF(L22&lt;&gt;"","Replied",IF(J22="","Scheduled",IF(TODAY()&gt;J22+5,"Follow up","Sent")))))</f>
        <v/>
      </c>
      <c r="T22" s="15" t="inlineStr"/>
    </row>
    <row r="23">
      <c r="A23" s="15" t="inlineStr">
        <is>
          <t>R6</t>
        </is>
      </c>
      <c r="B23" s="15" t="inlineStr">
        <is>
          <t>v2</t>
        </is>
      </c>
      <c r="C23" s="15" t="inlineStr"/>
      <c r="D23" s="15">
        <f>IF(C23="","",IFERROR(VLOOKUP(C23,Organisations!$A:$B,2,FALSE),""))</f>
        <v/>
      </c>
      <c r="E23" s="15" t="inlineStr">
        <is>
          <t>Same as v1</t>
        </is>
      </c>
      <c r="F23" s="15" t="inlineStr">
        <is>
          <t>Follow-up (once)</t>
        </is>
      </c>
      <c r="G23" s="15" t="inlineStr">
        <is>
          <t>Everyone who has not replied to v1</t>
        </is>
      </c>
      <c r="H23" s="15">
        <f>HYPERLINK("https://github.com/samquansah-algo/nbc-vct/blob/main/marketing/OUTREACH_MESSAGES.md#v2-refined-messages","Open message")</f>
        <v/>
      </c>
      <c r="I23" s="16" t="n">
        <v>46301</v>
      </c>
      <c r="J23" s="16" t="n"/>
      <c r="K23" s="15" t="n"/>
      <c r="L23" s="16" t="n"/>
      <c r="M23" s="15">
        <f>IF(AND(J23&lt;&gt;"",L23&lt;&gt;""),L23-J23,"")</f>
        <v/>
      </c>
      <c r="N23" s="16">
        <f>IF(AND(J23&lt;&gt;"",L23=""),J23+5,"")</f>
        <v/>
      </c>
      <c r="O23" s="16" t="n"/>
      <c r="P23" s="15" t="n"/>
      <c r="Q23" s="15" t="n"/>
      <c r="R23" s="15" t="inlineStr">
        <is>
          <t>Open</t>
        </is>
      </c>
      <c r="S23" s="15">
        <f>IF(R23&lt;&gt;"Open",R23,IF(P23="Yes","Booked",IF(L23&lt;&gt;"","Replied",IF(J23="","Scheduled",IF(TODAY()&gt;J23+5,"Follow up","Sent")))))</f>
        <v/>
      </c>
      <c r="T23" s="15" t="inlineStr"/>
    </row>
    <row r="24">
      <c r="D24">
        <f>IF(C24="","",IFERROR(VLOOKUP(C24,Organisations!$A:$B,2,FALSE),""))</f>
        <v/>
      </c>
      <c r="H24" s="5" t="n"/>
      <c r="I24" s="17" t="n"/>
      <c r="J24" s="17" t="n"/>
      <c r="L24" s="17" t="n"/>
      <c r="M24">
        <f>IF(AND(J24&lt;&gt;"",L24&lt;&gt;""),L24-J24,"")</f>
        <v/>
      </c>
      <c r="N24" s="17">
        <f>IF(AND(J24&lt;&gt;"",L24=""),J24+5,"")</f>
        <v/>
      </c>
      <c r="O24" s="17" t="n"/>
      <c r="S24">
        <f>IF(A24="","",IF(R24&lt;&gt;"Open",R24,IF(P24="Yes","Booked",IF(L24&lt;&gt;"","Replied",IF(J24="","Scheduled",IF(TODAY()&gt;J24+5,"Follow up","Sent"))))))</f>
        <v/>
      </c>
    </row>
    <row r="25">
      <c r="D25">
        <f>IF(C25="","",IFERROR(VLOOKUP(C25,Organisations!$A:$B,2,FALSE),""))</f>
        <v/>
      </c>
      <c r="H25" s="5" t="n"/>
      <c r="I25" s="17" t="n"/>
      <c r="J25" s="17" t="n"/>
      <c r="L25" s="17" t="n"/>
      <c r="M25">
        <f>IF(AND(J25&lt;&gt;"",L25&lt;&gt;""),L25-J25,"")</f>
        <v/>
      </c>
      <c r="N25" s="17">
        <f>IF(AND(J25&lt;&gt;"",L25=""),J25+5,"")</f>
        <v/>
      </c>
      <c r="O25" s="17" t="n"/>
      <c r="S25">
        <f>IF(A25="","",IF(R25&lt;&gt;"Open",R25,IF(P25="Yes","Booked",IF(L25&lt;&gt;"","Replied",IF(J25="","Scheduled",IF(TODAY()&gt;J25+5,"Follow up","Sent"))))))</f>
        <v/>
      </c>
    </row>
    <row r="26">
      <c r="D26">
        <f>IF(C26="","",IFERROR(VLOOKUP(C26,Organisations!$A:$B,2,FALSE),""))</f>
        <v/>
      </c>
      <c r="H26" s="5" t="n"/>
      <c r="I26" s="17" t="n"/>
      <c r="J26" s="17" t="n"/>
      <c r="L26" s="17" t="n"/>
      <c r="M26">
        <f>IF(AND(J26&lt;&gt;"",L26&lt;&gt;""),L26-J26,"")</f>
        <v/>
      </c>
      <c r="N26" s="17">
        <f>IF(AND(J26&lt;&gt;"",L26=""),J26+5,"")</f>
        <v/>
      </c>
      <c r="O26" s="17" t="n"/>
      <c r="S26">
        <f>IF(A26="","",IF(R26&lt;&gt;"Open",R26,IF(P26="Yes","Booked",IF(L26&lt;&gt;"","Replied",IF(J26="","Scheduled",IF(TODAY()&gt;J26+5,"Follow up","Sent"))))))</f>
        <v/>
      </c>
    </row>
    <row r="27">
      <c r="D27">
        <f>IF(C27="","",IFERROR(VLOOKUP(C27,Organisations!$A:$B,2,FALSE),""))</f>
        <v/>
      </c>
      <c r="H27" s="5" t="n"/>
      <c r="I27" s="17" t="n"/>
      <c r="J27" s="17" t="n"/>
      <c r="L27" s="17" t="n"/>
      <c r="M27">
        <f>IF(AND(J27&lt;&gt;"",L27&lt;&gt;""),L27-J27,"")</f>
        <v/>
      </c>
      <c r="N27" s="17">
        <f>IF(AND(J27&lt;&gt;"",L27=""),J27+5,"")</f>
        <v/>
      </c>
      <c r="O27" s="17" t="n"/>
      <c r="S27">
        <f>IF(A27="","",IF(R27&lt;&gt;"Open",R27,IF(P27="Yes","Booked",IF(L27&lt;&gt;"","Replied",IF(J27="","Scheduled",IF(TODAY()&gt;J27+5,"Follow up","Sent"))))))</f>
        <v/>
      </c>
    </row>
    <row r="28">
      <c r="D28">
        <f>IF(C28="","",IFERROR(VLOOKUP(C28,Organisations!$A:$B,2,FALSE),""))</f>
        <v/>
      </c>
      <c r="H28" s="5" t="n"/>
      <c r="I28" s="17" t="n"/>
      <c r="J28" s="17" t="n"/>
      <c r="L28" s="17" t="n"/>
      <c r="M28">
        <f>IF(AND(J28&lt;&gt;"",L28&lt;&gt;""),L28-J28,"")</f>
        <v/>
      </c>
      <c r="N28" s="17">
        <f>IF(AND(J28&lt;&gt;"",L28=""),J28+5,"")</f>
        <v/>
      </c>
      <c r="O28" s="17" t="n"/>
      <c r="S28">
        <f>IF(A28="","",IF(R28&lt;&gt;"Open",R28,IF(P28="Yes","Booked",IF(L28&lt;&gt;"","Replied",IF(J28="","Scheduled",IF(TODAY()&gt;J28+5,"Follow up","Sent"))))))</f>
        <v/>
      </c>
    </row>
    <row r="29">
      <c r="D29">
        <f>IF(C29="","",IFERROR(VLOOKUP(C29,Organisations!$A:$B,2,FALSE),""))</f>
        <v/>
      </c>
      <c r="H29" s="5" t="n"/>
      <c r="I29" s="17" t="n"/>
      <c r="J29" s="17" t="n"/>
      <c r="L29" s="17" t="n"/>
      <c r="M29">
        <f>IF(AND(J29&lt;&gt;"",L29&lt;&gt;""),L29-J29,"")</f>
        <v/>
      </c>
      <c r="N29" s="17">
        <f>IF(AND(J29&lt;&gt;"",L29=""),J29+5,"")</f>
        <v/>
      </c>
      <c r="O29" s="17" t="n"/>
      <c r="S29">
        <f>IF(A29="","",IF(R29&lt;&gt;"Open",R29,IF(P29="Yes","Booked",IF(L29&lt;&gt;"","Replied",IF(J29="","Scheduled",IF(TODAY()&gt;J29+5,"Follow up","Sent"))))))</f>
        <v/>
      </c>
    </row>
    <row r="30">
      <c r="D30">
        <f>IF(C30="","",IFERROR(VLOOKUP(C30,Organisations!$A:$B,2,FALSE),""))</f>
        <v/>
      </c>
      <c r="H30" s="5" t="n"/>
      <c r="I30" s="17" t="n"/>
      <c r="J30" s="17" t="n"/>
      <c r="L30" s="17" t="n"/>
      <c r="M30">
        <f>IF(AND(J30&lt;&gt;"",L30&lt;&gt;""),L30-J30,"")</f>
        <v/>
      </c>
      <c r="N30" s="17">
        <f>IF(AND(J30&lt;&gt;"",L30=""),J30+5,"")</f>
        <v/>
      </c>
      <c r="O30" s="17" t="n"/>
      <c r="S30">
        <f>IF(A30="","",IF(R30&lt;&gt;"Open",R30,IF(P30="Yes","Booked",IF(L30&lt;&gt;"","Replied",IF(J30="","Scheduled",IF(TODAY()&gt;J30+5,"Follow up","Sent"))))))</f>
        <v/>
      </c>
    </row>
    <row r="31">
      <c r="D31">
        <f>IF(C31="","",IFERROR(VLOOKUP(C31,Organisations!$A:$B,2,FALSE),""))</f>
        <v/>
      </c>
      <c r="H31" s="5" t="n"/>
      <c r="I31" s="17" t="n"/>
      <c r="J31" s="17" t="n"/>
      <c r="L31" s="17" t="n"/>
      <c r="M31">
        <f>IF(AND(J31&lt;&gt;"",L31&lt;&gt;""),L31-J31,"")</f>
        <v/>
      </c>
      <c r="N31" s="17">
        <f>IF(AND(J31&lt;&gt;"",L31=""),J31+5,"")</f>
        <v/>
      </c>
      <c r="O31" s="17" t="n"/>
      <c r="S31">
        <f>IF(A31="","",IF(R31&lt;&gt;"Open",R31,IF(P31="Yes","Booked",IF(L31&lt;&gt;"","Replied",IF(J31="","Scheduled",IF(TODAY()&gt;J31+5,"Follow up","Sent"))))))</f>
        <v/>
      </c>
    </row>
    <row r="32">
      <c r="D32">
        <f>IF(C32="","",IFERROR(VLOOKUP(C32,Organisations!$A:$B,2,FALSE),""))</f>
        <v/>
      </c>
      <c r="H32" s="5" t="n"/>
      <c r="I32" s="17" t="n"/>
      <c r="J32" s="17" t="n"/>
      <c r="L32" s="17" t="n"/>
      <c r="M32">
        <f>IF(AND(J32&lt;&gt;"",L32&lt;&gt;""),L32-J32,"")</f>
        <v/>
      </c>
      <c r="N32" s="17">
        <f>IF(AND(J32&lt;&gt;"",L32=""),J32+5,"")</f>
        <v/>
      </c>
      <c r="O32" s="17" t="n"/>
      <c r="S32">
        <f>IF(A32="","",IF(R32&lt;&gt;"Open",R32,IF(P32="Yes","Booked",IF(L32&lt;&gt;"","Replied",IF(J32="","Scheduled",IF(TODAY()&gt;J32+5,"Follow up","Sent"))))))</f>
        <v/>
      </c>
    </row>
    <row r="33">
      <c r="D33">
        <f>IF(C33="","",IFERROR(VLOOKUP(C33,Organisations!$A:$B,2,FALSE),""))</f>
        <v/>
      </c>
      <c r="H33" s="5" t="n"/>
      <c r="I33" s="17" t="n"/>
      <c r="J33" s="17" t="n"/>
      <c r="L33" s="17" t="n"/>
      <c r="M33">
        <f>IF(AND(J33&lt;&gt;"",L33&lt;&gt;""),L33-J33,"")</f>
        <v/>
      </c>
      <c r="N33" s="17">
        <f>IF(AND(J33&lt;&gt;"",L33=""),J33+5,"")</f>
        <v/>
      </c>
      <c r="O33" s="17" t="n"/>
      <c r="S33">
        <f>IF(A33="","",IF(R33&lt;&gt;"Open",R33,IF(P33="Yes","Booked",IF(L33&lt;&gt;"","Replied",IF(J33="","Scheduled",IF(TODAY()&gt;J33+5,"Follow up","Sent"))))))</f>
        <v/>
      </c>
    </row>
    <row r="34">
      <c r="D34">
        <f>IF(C34="","",IFERROR(VLOOKUP(C34,Organisations!$A:$B,2,FALSE),""))</f>
        <v/>
      </c>
      <c r="H34" s="5" t="n"/>
      <c r="I34" s="17" t="n"/>
      <c r="J34" s="17" t="n"/>
      <c r="L34" s="17" t="n"/>
      <c r="M34">
        <f>IF(AND(J34&lt;&gt;"",L34&lt;&gt;""),L34-J34,"")</f>
        <v/>
      </c>
      <c r="N34" s="17">
        <f>IF(AND(J34&lt;&gt;"",L34=""),J34+5,"")</f>
        <v/>
      </c>
      <c r="O34" s="17" t="n"/>
      <c r="S34">
        <f>IF(A34="","",IF(R34&lt;&gt;"Open",R34,IF(P34="Yes","Booked",IF(L34&lt;&gt;"","Replied",IF(J34="","Scheduled",IF(TODAY()&gt;J34+5,"Follow up","Sent"))))))</f>
        <v/>
      </c>
    </row>
    <row r="35">
      <c r="D35">
        <f>IF(C35="","",IFERROR(VLOOKUP(C35,Organisations!$A:$B,2,FALSE),""))</f>
        <v/>
      </c>
      <c r="H35" s="5" t="n"/>
      <c r="I35" s="17" t="n"/>
      <c r="J35" s="17" t="n"/>
      <c r="L35" s="17" t="n"/>
      <c r="M35">
        <f>IF(AND(J35&lt;&gt;"",L35&lt;&gt;""),L35-J35,"")</f>
        <v/>
      </c>
      <c r="N35" s="17">
        <f>IF(AND(J35&lt;&gt;"",L35=""),J35+5,"")</f>
        <v/>
      </c>
      <c r="O35" s="17" t="n"/>
      <c r="S35">
        <f>IF(A35="","",IF(R35&lt;&gt;"Open",R35,IF(P35="Yes","Booked",IF(L35&lt;&gt;"","Replied",IF(J35="","Scheduled",IF(TODAY()&gt;J35+5,"Follow up","Sent"))))))</f>
        <v/>
      </c>
    </row>
    <row r="36">
      <c r="D36">
        <f>IF(C36="","",IFERROR(VLOOKUP(C36,Organisations!$A:$B,2,FALSE),""))</f>
        <v/>
      </c>
      <c r="H36" s="5" t="n"/>
      <c r="I36" s="17" t="n"/>
      <c r="J36" s="17" t="n"/>
      <c r="L36" s="17" t="n"/>
      <c r="M36">
        <f>IF(AND(J36&lt;&gt;"",L36&lt;&gt;""),L36-J36,"")</f>
        <v/>
      </c>
      <c r="N36" s="17">
        <f>IF(AND(J36&lt;&gt;"",L36=""),J36+5,"")</f>
        <v/>
      </c>
      <c r="O36" s="17" t="n"/>
      <c r="S36">
        <f>IF(A36="","",IF(R36&lt;&gt;"Open",R36,IF(P36="Yes","Booked",IF(L36&lt;&gt;"","Replied",IF(J36="","Scheduled",IF(TODAY()&gt;J36+5,"Follow up","Sent"))))))</f>
        <v/>
      </c>
    </row>
    <row r="37">
      <c r="D37">
        <f>IF(C37="","",IFERROR(VLOOKUP(C37,Organisations!$A:$B,2,FALSE),""))</f>
        <v/>
      </c>
      <c r="H37" s="5" t="n"/>
      <c r="I37" s="17" t="n"/>
      <c r="J37" s="17" t="n"/>
      <c r="L37" s="17" t="n"/>
      <c r="M37">
        <f>IF(AND(J37&lt;&gt;"",L37&lt;&gt;""),L37-J37,"")</f>
        <v/>
      </c>
      <c r="N37" s="17">
        <f>IF(AND(J37&lt;&gt;"",L37=""),J37+5,"")</f>
        <v/>
      </c>
      <c r="O37" s="17" t="n"/>
      <c r="S37">
        <f>IF(A37="","",IF(R37&lt;&gt;"Open",R37,IF(P37="Yes","Booked",IF(L37&lt;&gt;"","Replied",IF(J37="","Scheduled",IF(TODAY()&gt;J37+5,"Follow up","Sent"))))))</f>
        <v/>
      </c>
    </row>
    <row r="38">
      <c r="D38">
        <f>IF(C38="","",IFERROR(VLOOKUP(C38,Organisations!$A:$B,2,FALSE),""))</f>
        <v/>
      </c>
      <c r="H38" s="5" t="n"/>
      <c r="I38" s="17" t="n"/>
      <c r="J38" s="17" t="n"/>
      <c r="L38" s="17" t="n"/>
      <c r="M38">
        <f>IF(AND(J38&lt;&gt;"",L38&lt;&gt;""),L38-J38,"")</f>
        <v/>
      </c>
      <c r="N38" s="17">
        <f>IF(AND(J38&lt;&gt;"",L38=""),J38+5,"")</f>
        <v/>
      </c>
      <c r="O38" s="17" t="n"/>
      <c r="S38">
        <f>IF(A38="","",IF(R38&lt;&gt;"Open",R38,IF(P38="Yes","Booked",IF(L38&lt;&gt;"","Replied",IF(J38="","Scheduled",IF(TODAY()&gt;J38+5,"Follow up","Sent"))))))</f>
        <v/>
      </c>
    </row>
    <row r="39">
      <c r="D39">
        <f>IF(C39="","",IFERROR(VLOOKUP(C39,Organisations!$A:$B,2,FALSE),""))</f>
        <v/>
      </c>
      <c r="H39" s="5" t="n"/>
      <c r="I39" s="17" t="n"/>
      <c r="J39" s="17" t="n"/>
      <c r="L39" s="17" t="n"/>
      <c r="M39">
        <f>IF(AND(J39&lt;&gt;"",L39&lt;&gt;""),L39-J39,"")</f>
        <v/>
      </c>
      <c r="N39" s="17">
        <f>IF(AND(J39&lt;&gt;"",L39=""),J39+5,"")</f>
        <v/>
      </c>
      <c r="O39" s="17" t="n"/>
      <c r="S39">
        <f>IF(A39="","",IF(R39&lt;&gt;"Open",R39,IF(P39="Yes","Booked",IF(L39&lt;&gt;"","Replied",IF(J39="","Scheduled",IF(TODAY()&gt;J39+5,"Follow up","Sent"))))))</f>
        <v/>
      </c>
    </row>
    <row r="40">
      <c r="D40">
        <f>IF(C40="","",IFERROR(VLOOKUP(C40,Organisations!$A:$B,2,FALSE),""))</f>
        <v/>
      </c>
      <c r="H40" s="5" t="n"/>
      <c r="I40" s="17" t="n"/>
      <c r="J40" s="17" t="n"/>
      <c r="L40" s="17" t="n"/>
      <c r="M40">
        <f>IF(AND(J40&lt;&gt;"",L40&lt;&gt;""),L40-J40,"")</f>
        <v/>
      </c>
      <c r="N40" s="17">
        <f>IF(AND(J40&lt;&gt;"",L40=""),J40+5,"")</f>
        <v/>
      </c>
      <c r="O40" s="17" t="n"/>
      <c r="S40">
        <f>IF(A40="","",IF(R40&lt;&gt;"Open",R40,IF(P40="Yes","Booked",IF(L40&lt;&gt;"","Replied",IF(J40="","Scheduled",IF(TODAY()&gt;J40+5,"Follow up","Sent"))))))</f>
        <v/>
      </c>
    </row>
    <row r="41">
      <c r="D41">
        <f>IF(C41="","",IFERROR(VLOOKUP(C41,Organisations!$A:$B,2,FALSE),""))</f>
        <v/>
      </c>
      <c r="H41" s="5" t="n"/>
      <c r="I41" s="17" t="n"/>
      <c r="J41" s="17" t="n"/>
      <c r="L41" s="17" t="n"/>
      <c r="M41">
        <f>IF(AND(J41&lt;&gt;"",L41&lt;&gt;""),L41-J41,"")</f>
        <v/>
      </c>
      <c r="N41" s="17">
        <f>IF(AND(J41&lt;&gt;"",L41=""),J41+5,"")</f>
        <v/>
      </c>
      <c r="O41" s="17" t="n"/>
      <c r="S41">
        <f>IF(A41="","",IF(R41&lt;&gt;"Open",R41,IF(P41="Yes","Booked",IF(L41&lt;&gt;"","Replied",IF(J41="","Scheduled",IF(TODAY()&gt;J41+5,"Follow up","Sent"))))))</f>
        <v/>
      </c>
    </row>
    <row r="42">
      <c r="D42">
        <f>IF(C42="","",IFERROR(VLOOKUP(C42,Organisations!$A:$B,2,FALSE),""))</f>
        <v/>
      </c>
      <c r="H42" s="5" t="n"/>
      <c r="I42" s="17" t="n"/>
      <c r="J42" s="17" t="n"/>
      <c r="L42" s="17" t="n"/>
      <c r="M42">
        <f>IF(AND(J42&lt;&gt;"",L42&lt;&gt;""),L42-J42,"")</f>
        <v/>
      </c>
      <c r="N42" s="17">
        <f>IF(AND(J42&lt;&gt;"",L42=""),J42+5,"")</f>
        <v/>
      </c>
      <c r="O42" s="17" t="n"/>
      <c r="S42">
        <f>IF(A42="","",IF(R42&lt;&gt;"Open",R42,IF(P42="Yes","Booked",IF(L42&lt;&gt;"","Replied",IF(J42="","Scheduled",IF(TODAY()&gt;J42+5,"Follow up","Sent"))))))</f>
        <v/>
      </c>
    </row>
    <row r="43">
      <c r="D43">
        <f>IF(C43="","",IFERROR(VLOOKUP(C43,Organisations!$A:$B,2,FALSE),""))</f>
        <v/>
      </c>
      <c r="H43" s="5" t="n"/>
      <c r="I43" s="17" t="n"/>
      <c r="J43" s="17" t="n"/>
      <c r="L43" s="17" t="n"/>
      <c r="M43">
        <f>IF(AND(J43&lt;&gt;"",L43&lt;&gt;""),L43-J43,"")</f>
        <v/>
      </c>
      <c r="N43" s="17">
        <f>IF(AND(J43&lt;&gt;"",L43=""),J43+5,"")</f>
        <v/>
      </c>
      <c r="O43" s="17" t="n"/>
      <c r="S43">
        <f>IF(A43="","",IF(R43&lt;&gt;"Open",R43,IF(P43="Yes","Booked",IF(L43&lt;&gt;"","Replied",IF(J43="","Scheduled",IF(TODAY()&gt;J43+5,"Follow up","Sent"))))))</f>
        <v/>
      </c>
    </row>
    <row r="44">
      <c r="D44">
        <f>IF(C44="","",IFERROR(VLOOKUP(C44,Organisations!$A:$B,2,FALSE),""))</f>
        <v/>
      </c>
      <c r="H44" s="5" t="n"/>
      <c r="I44" s="17" t="n"/>
      <c r="J44" s="17" t="n"/>
      <c r="L44" s="17" t="n"/>
      <c r="M44">
        <f>IF(AND(J44&lt;&gt;"",L44&lt;&gt;""),L44-J44,"")</f>
        <v/>
      </c>
      <c r="N44" s="17">
        <f>IF(AND(J44&lt;&gt;"",L44=""),J44+5,"")</f>
        <v/>
      </c>
      <c r="O44" s="17" t="n"/>
      <c r="S44">
        <f>IF(A44="","",IF(R44&lt;&gt;"Open",R44,IF(P44="Yes","Booked",IF(L44&lt;&gt;"","Replied",IF(J44="","Scheduled",IF(TODAY()&gt;J44+5,"Follow up","Sent"))))))</f>
        <v/>
      </c>
    </row>
    <row r="45">
      <c r="D45">
        <f>IF(C45="","",IFERROR(VLOOKUP(C45,Organisations!$A:$B,2,FALSE),""))</f>
        <v/>
      </c>
      <c r="H45" s="5" t="n"/>
      <c r="I45" s="17" t="n"/>
      <c r="J45" s="17" t="n"/>
      <c r="L45" s="17" t="n"/>
      <c r="M45">
        <f>IF(AND(J45&lt;&gt;"",L45&lt;&gt;""),L45-J45,"")</f>
        <v/>
      </c>
      <c r="N45" s="17">
        <f>IF(AND(J45&lt;&gt;"",L45=""),J45+5,"")</f>
        <v/>
      </c>
      <c r="O45" s="17" t="n"/>
      <c r="S45">
        <f>IF(A45="","",IF(R45&lt;&gt;"Open",R45,IF(P45="Yes","Booked",IF(L45&lt;&gt;"","Replied",IF(J45="","Scheduled",IF(TODAY()&gt;J45+5,"Follow up","Sent"))))))</f>
        <v/>
      </c>
    </row>
    <row r="46">
      <c r="D46">
        <f>IF(C46="","",IFERROR(VLOOKUP(C46,Organisations!$A:$B,2,FALSE),""))</f>
        <v/>
      </c>
      <c r="H46" s="5" t="n"/>
      <c r="I46" s="17" t="n"/>
      <c r="J46" s="17" t="n"/>
      <c r="L46" s="17" t="n"/>
      <c r="M46">
        <f>IF(AND(J46&lt;&gt;"",L46&lt;&gt;""),L46-J46,"")</f>
        <v/>
      </c>
      <c r="N46" s="17">
        <f>IF(AND(J46&lt;&gt;"",L46=""),J46+5,"")</f>
        <v/>
      </c>
      <c r="O46" s="17" t="n"/>
      <c r="S46">
        <f>IF(A46="","",IF(R46&lt;&gt;"Open",R46,IF(P46="Yes","Booked",IF(L46&lt;&gt;"","Replied",IF(J46="","Scheduled",IF(TODAY()&gt;J46+5,"Follow up","Sent"))))))</f>
        <v/>
      </c>
    </row>
    <row r="47">
      <c r="D47">
        <f>IF(C47="","",IFERROR(VLOOKUP(C47,Organisations!$A:$B,2,FALSE),""))</f>
        <v/>
      </c>
      <c r="H47" s="5" t="n"/>
      <c r="I47" s="17" t="n"/>
      <c r="J47" s="17" t="n"/>
      <c r="L47" s="17" t="n"/>
      <c r="M47">
        <f>IF(AND(J47&lt;&gt;"",L47&lt;&gt;""),L47-J47,"")</f>
        <v/>
      </c>
      <c r="N47" s="17">
        <f>IF(AND(J47&lt;&gt;"",L47=""),J47+5,"")</f>
        <v/>
      </c>
      <c r="O47" s="17" t="n"/>
      <c r="S47">
        <f>IF(A47="","",IF(R47&lt;&gt;"Open",R47,IF(P47="Yes","Booked",IF(L47&lt;&gt;"","Replied",IF(J47="","Scheduled",IF(TODAY()&gt;J47+5,"Follow up","Sent"))))))</f>
        <v/>
      </c>
    </row>
    <row r="48">
      <c r="D48">
        <f>IF(C48="","",IFERROR(VLOOKUP(C48,Organisations!$A:$B,2,FALSE),""))</f>
        <v/>
      </c>
      <c r="H48" s="5" t="n"/>
      <c r="I48" s="17" t="n"/>
      <c r="J48" s="17" t="n"/>
      <c r="L48" s="17" t="n"/>
      <c r="M48">
        <f>IF(AND(J48&lt;&gt;"",L48&lt;&gt;""),L48-J48,"")</f>
        <v/>
      </c>
      <c r="N48" s="17">
        <f>IF(AND(J48&lt;&gt;"",L48=""),J48+5,"")</f>
        <v/>
      </c>
      <c r="O48" s="17" t="n"/>
      <c r="S48">
        <f>IF(A48="","",IF(R48&lt;&gt;"Open",R48,IF(P48="Yes","Booked",IF(L48&lt;&gt;"","Replied",IF(J48="","Scheduled",IF(TODAY()&gt;J48+5,"Follow up","Sent"))))))</f>
        <v/>
      </c>
    </row>
    <row r="49">
      <c r="D49">
        <f>IF(C49="","",IFERROR(VLOOKUP(C49,Organisations!$A:$B,2,FALSE),""))</f>
        <v/>
      </c>
      <c r="H49" s="5" t="n"/>
      <c r="I49" s="17" t="n"/>
      <c r="J49" s="17" t="n"/>
      <c r="L49" s="17" t="n"/>
      <c r="M49">
        <f>IF(AND(J49&lt;&gt;"",L49&lt;&gt;""),L49-J49,"")</f>
        <v/>
      </c>
      <c r="N49" s="17">
        <f>IF(AND(J49&lt;&gt;"",L49=""),J49+5,"")</f>
        <v/>
      </c>
      <c r="O49" s="17" t="n"/>
      <c r="S49">
        <f>IF(A49="","",IF(R49&lt;&gt;"Open",R49,IF(P49="Yes","Booked",IF(L49&lt;&gt;"","Replied",IF(J49="","Scheduled",IF(TODAY()&gt;J49+5,"Follow up","Sent"))))))</f>
        <v/>
      </c>
    </row>
    <row r="50">
      <c r="D50">
        <f>IF(C50="","",IFERROR(VLOOKUP(C50,Organisations!$A:$B,2,FALSE),""))</f>
        <v/>
      </c>
      <c r="H50" s="5" t="n"/>
      <c r="I50" s="17" t="n"/>
      <c r="J50" s="17" t="n"/>
      <c r="L50" s="17" t="n"/>
      <c r="M50">
        <f>IF(AND(J50&lt;&gt;"",L50&lt;&gt;""),L50-J50,"")</f>
        <v/>
      </c>
      <c r="N50" s="17">
        <f>IF(AND(J50&lt;&gt;"",L50=""),J50+5,"")</f>
        <v/>
      </c>
      <c r="O50" s="17" t="n"/>
      <c r="S50">
        <f>IF(A50="","",IF(R50&lt;&gt;"Open",R50,IF(P50="Yes","Booked",IF(L50&lt;&gt;"","Replied",IF(J50="","Scheduled",IF(TODAY()&gt;J50+5,"Follow up","Sent"))))))</f>
        <v/>
      </c>
    </row>
    <row r="51">
      <c r="D51">
        <f>IF(C51="","",IFERROR(VLOOKUP(C51,Organisations!$A:$B,2,FALSE),""))</f>
        <v/>
      </c>
      <c r="H51" s="5" t="n"/>
      <c r="I51" s="17" t="n"/>
      <c r="J51" s="17" t="n"/>
      <c r="L51" s="17" t="n"/>
      <c r="M51">
        <f>IF(AND(J51&lt;&gt;"",L51&lt;&gt;""),L51-J51,"")</f>
        <v/>
      </c>
      <c r="N51" s="17">
        <f>IF(AND(J51&lt;&gt;"",L51=""),J51+5,"")</f>
        <v/>
      </c>
      <c r="O51" s="17" t="n"/>
      <c r="S51">
        <f>IF(A51="","",IF(R51&lt;&gt;"Open",R51,IF(P51="Yes","Booked",IF(L51&lt;&gt;"","Replied",IF(J51="","Scheduled",IF(TODAY()&gt;J51+5,"Follow up","Sent"))))))</f>
        <v/>
      </c>
    </row>
    <row r="52">
      <c r="D52">
        <f>IF(C52="","",IFERROR(VLOOKUP(C52,Organisations!$A:$B,2,FALSE),""))</f>
        <v/>
      </c>
      <c r="H52" s="5" t="n"/>
      <c r="I52" s="17" t="n"/>
      <c r="J52" s="17" t="n"/>
      <c r="L52" s="17" t="n"/>
      <c r="M52">
        <f>IF(AND(J52&lt;&gt;"",L52&lt;&gt;""),L52-J52,"")</f>
        <v/>
      </c>
      <c r="N52" s="17">
        <f>IF(AND(J52&lt;&gt;"",L52=""),J52+5,"")</f>
        <v/>
      </c>
      <c r="O52" s="17" t="n"/>
      <c r="S52">
        <f>IF(A52="","",IF(R52&lt;&gt;"Open",R52,IF(P52="Yes","Booked",IF(L52&lt;&gt;"","Replied",IF(J52="","Scheduled",IF(TODAY()&gt;J52+5,"Follow up","Sent"))))))</f>
        <v/>
      </c>
    </row>
    <row r="53">
      <c r="D53">
        <f>IF(C53="","",IFERROR(VLOOKUP(C53,Organisations!$A:$B,2,FALSE),""))</f>
        <v/>
      </c>
      <c r="H53" s="5" t="n"/>
      <c r="I53" s="17" t="n"/>
      <c r="J53" s="17" t="n"/>
      <c r="L53" s="17" t="n"/>
      <c r="M53">
        <f>IF(AND(J53&lt;&gt;"",L53&lt;&gt;""),L53-J53,"")</f>
        <v/>
      </c>
      <c r="N53" s="17">
        <f>IF(AND(J53&lt;&gt;"",L53=""),J53+5,"")</f>
        <v/>
      </c>
      <c r="O53" s="17" t="n"/>
      <c r="S53">
        <f>IF(A53="","",IF(R53&lt;&gt;"Open",R53,IF(P53="Yes","Booked",IF(L53&lt;&gt;"","Replied",IF(J53="","Scheduled",IF(TODAY()&gt;J53+5,"Follow up","Sent"))))))</f>
        <v/>
      </c>
    </row>
    <row r="54">
      <c r="D54">
        <f>IF(C54="","",IFERROR(VLOOKUP(C54,Organisations!$A:$B,2,FALSE),""))</f>
        <v/>
      </c>
      <c r="H54" s="5" t="n"/>
      <c r="I54" s="17" t="n"/>
      <c r="J54" s="17" t="n"/>
      <c r="L54" s="17" t="n"/>
      <c r="M54">
        <f>IF(AND(J54&lt;&gt;"",L54&lt;&gt;""),L54-J54,"")</f>
        <v/>
      </c>
      <c r="N54" s="17">
        <f>IF(AND(J54&lt;&gt;"",L54=""),J54+5,"")</f>
        <v/>
      </c>
      <c r="O54" s="17" t="n"/>
      <c r="S54">
        <f>IF(A54="","",IF(R54&lt;&gt;"Open",R54,IF(P54="Yes","Booked",IF(L54&lt;&gt;"","Replied",IF(J54="","Scheduled",IF(TODAY()&gt;J54+5,"Follow up","Sent"))))))</f>
        <v/>
      </c>
    </row>
    <row r="55">
      <c r="D55">
        <f>IF(C55="","",IFERROR(VLOOKUP(C55,Organisations!$A:$B,2,FALSE),""))</f>
        <v/>
      </c>
      <c r="H55" s="5" t="n"/>
      <c r="I55" s="17" t="n"/>
      <c r="J55" s="17" t="n"/>
      <c r="L55" s="17" t="n"/>
      <c r="M55">
        <f>IF(AND(J55&lt;&gt;"",L55&lt;&gt;""),L55-J55,"")</f>
        <v/>
      </c>
      <c r="N55" s="17">
        <f>IF(AND(J55&lt;&gt;"",L55=""),J55+5,"")</f>
        <v/>
      </c>
      <c r="O55" s="17" t="n"/>
      <c r="S55">
        <f>IF(A55="","",IF(R55&lt;&gt;"Open",R55,IF(P55="Yes","Booked",IF(L55&lt;&gt;"","Replied",IF(J55="","Scheduled",IF(TODAY()&gt;J55+5,"Follow up","Sent"))))))</f>
        <v/>
      </c>
    </row>
    <row r="56">
      <c r="D56">
        <f>IF(C56="","",IFERROR(VLOOKUP(C56,Organisations!$A:$B,2,FALSE),""))</f>
        <v/>
      </c>
      <c r="H56" s="5" t="n"/>
      <c r="I56" s="17" t="n"/>
      <c r="J56" s="17" t="n"/>
      <c r="L56" s="17" t="n"/>
      <c r="M56">
        <f>IF(AND(J56&lt;&gt;"",L56&lt;&gt;""),L56-J56,"")</f>
        <v/>
      </c>
      <c r="N56" s="17">
        <f>IF(AND(J56&lt;&gt;"",L56=""),J56+5,"")</f>
        <v/>
      </c>
      <c r="O56" s="17" t="n"/>
      <c r="S56">
        <f>IF(A56="","",IF(R56&lt;&gt;"Open",R56,IF(P56="Yes","Booked",IF(L56&lt;&gt;"","Replied",IF(J56="","Scheduled",IF(TODAY()&gt;J56+5,"Follow up","Sent"))))))</f>
        <v/>
      </c>
    </row>
    <row r="57">
      <c r="D57">
        <f>IF(C57="","",IFERROR(VLOOKUP(C57,Organisations!$A:$B,2,FALSE),""))</f>
        <v/>
      </c>
      <c r="H57" s="5" t="n"/>
      <c r="I57" s="17" t="n"/>
      <c r="J57" s="17" t="n"/>
      <c r="L57" s="17" t="n"/>
      <c r="M57">
        <f>IF(AND(J57&lt;&gt;"",L57&lt;&gt;""),L57-J57,"")</f>
        <v/>
      </c>
      <c r="N57" s="17">
        <f>IF(AND(J57&lt;&gt;"",L57=""),J57+5,"")</f>
        <v/>
      </c>
      <c r="O57" s="17" t="n"/>
      <c r="S57">
        <f>IF(A57="","",IF(R57&lt;&gt;"Open",R57,IF(P57="Yes","Booked",IF(L57&lt;&gt;"","Replied",IF(J57="","Scheduled",IF(TODAY()&gt;J57+5,"Follow up","Sent"))))))</f>
        <v/>
      </c>
    </row>
    <row r="58">
      <c r="D58">
        <f>IF(C58="","",IFERROR(VLOOKUP(C58,Organisations!$A:$B,2,FALSE),""))</f>
        <v/>
      </c>
      <c r="H58" s="5" t="n"/>
      <c r="I58" s="17" t="n"/>
      <c r="J58" s="17" t="n"/>
      <c r="L58" s="17" t="n"/>
      <c r="M58">
        <f>IF(AND(J58&lt;&gt;"",L58&lt;&gt;""),L58-J58,"")</f>
        <v/>
      </c>
      <c r="N58" s="17">
        <f>IF(AND(J58&lt;&gt;"",L58=""),J58+5,"")</f>
        <v/>
      </c>
      <c r="O58" s="17" t="n"/>
      <c r="S58">
        <f>IF(A58="","",IF(R58&lt;&gt;"Open",R58,IF(P58="Yes","Booked",IF(L58&lt;&gt;"","Replied",IF(J58="","Scheduled",IF(TODAY()&gt;J58+5,"Follow up","Sent"))))))</f>
        <v/>
      </c>
    </row>
    <row r="59">
      <c r="D59">
        <f>IF(C59="","",IFERROR(VLOOKUP(C59,Organisations!$A:$B,2,FALSE),""))</f>
        <v/>
      </c>
      <c r="H59" s="5" t="n"/>
      <c r="I59" s="17" t="n"/>
      <c r="J59" s="17" t="n"/>
      <c r="L59" s="17" t="n"/>
      <c r="M59">
        <f>IF(AND(J59&lt;&gt;"",L59&lt;&gt;""),L59-J59,"")</f>
        <v/>
      </c>
      <c r="N59" s="17">
        <f>IF(AND(J59&lt;&gt;"",L59=""),J59+5,"")</f>
        <v/>
      </c>
      <c r="O59" s="17" t="n"/>
      <c r="S59">
        <f>IF(A59="","",IF(R59&lt;&gt;"Open",R59,IF(P59="Yes","Booked",IF(L59&lt;&gt;"","Replied",IF(J59="","Scheduled",IF(TODAY()&gt;J59+5,"Follow up","Sent"))))))</f>
        <v/>
      </c>
    </row>
    <row r="60">
      <c r="D60">
        <f>IF(C60="","",IFERROR(VLOOKUP(C60,Organisations!$A:$B,2,FALSE),""))</f>
        <v/>
      </c>
      <c r="H60" s="5" t="n"/>
      <c r="I60" s="17" t="n"/>
      <c r="J60" s="17" t="n"/>
      <c r="L60" s="17" t="n"/>
      <c r="M60">
        <f>IF(AND(J60&lt;&gt;"",L60&lt;&gt;""),L60-J60,"")</f>
        <v/>
      </c>
      <c r="N60" s="17">
        <f>IF(AND(J60&lt;&gt;"",L60=""),J60+5,"")</f>
        <v/>
      </c>
      <c r="O60" s="17" t="n"/>
      <c r="S60">
        <f>IF(A60="","",IF(R60&lt;&gt;"Open",R60,IF(P60="Yes","Booked",IF(L60&lt;&gt;"","Replied",IF(J60="","Scheduled",IF(TODAY()&gt;J60+5,"Follow up","Sent"))))))</f>
        <v/>
      </c>
    </row>
    <row r="61">
      <c r="D61">
        <f>IF(C61="","",IFERROR(VLOOKUP(C61,Organisations!$A:$B,2,FALSE),""))</f>
        <v/>
      </c>
      <c r="H61" s="5" t="n"/>
      <c r="I61" s="17" t="n"/>
      <c r="J61" s="17" t="n"/>
      <c r="L61" s="17" t="n"/>
      <c r="M61">
        <f>IF(AND(J61&lt;&gt;"",L61&lt;&gt;""),L61-J61,"")</f>
        <v/>
      </c>
      <c r="N61" s="17">
        <f>IF(AND(J61&lt;&gt;"",L61=""),J61+5,"")</f>
        <v/>
      </c>
      <c r="O61" s="17" t="n"/>
      <c r="S61">
        <f>IF(A61="","",IF(R61&lt;&gt;"Open",R61,IF(P61="Yes","Booked",IF(L61&lt;&gt;"","Replied",IF(J61="","Scheduled",IF(TODAY()&gt;J61+5,"Follow up","Sent"))))))</f>
        <v/>
      </c>
    </row>
    <row r="62">
      <c r="D62">
        <f>IF(C62="","",IFERROR(VLOOKUP(C62,Organisations!$A:$B,2,FALSE),""))</f>
        <v/>
      </c>
      <c r="H62" s="5" t="n"/>
      <c r="I62" s="17" t="n"/>
      <c r="J62" s="17" t="n"/>
      <c r="L62" s="17" t="n"/>
      <c r="M62">
        <f>IF(AND(J62&lt;&gt;"",L62&lt;&gt;""),L62-J62,"")</f>
        <v/>
      </c>
      <c r="N62" s="17">
        <f>IF(AND(J62&lt;&gt;"",L62=""),J62+5,"")</f>
        <v/>
      </c>
      <c r="O62" s="17" t="n"/>
      <c r="S62">
        <f>IF(A62="","",IF(R62&lt;&gt;"Open",R62,IF(P62="Yes","Booked",IF(L62&lt;&gt;"","Replied",IF(J62="","Scheduled",IF(TODAY()&gt;J62+5,"Follow up","Sent"))))))</f>
        <v/>
      </c>
    </row>
    <row r="63">
      <c r="D63">
        <f>IF(C63="","",IFERROR(VLOOKUP(C63,Organisations!$A:$B,2,FALSE),""))</f>
        <v/>
      </c>
      <c r="H63" s="5" t="n"/>
      <c r="I63" s="17" t="n"/>
      <c r="J63" s="17" t="n"/>
      <c r="L63" s="17" t="n"/>
      <c r="M63">
        <f>IF(AND(J63&lt;&gt;"",L63&lt;&gt;""),L63-J63,"")</f>
        <v/>
      </c>
      <c r="N63" s="17">
        <f>IF(AND(J63&lt;&gt;"",L63=""),J63+5,"")</f>
        <v/>
      </c>
      <c r="O63" s="17" t="n"/>
      <c r="S63">
        <f>IF(A63="","",IF(R63&lt;&gt;"Open",R63,IF(P63="Yes","Booked",IF(L63&lt;&gt;"","Replied",IF(J63="","Scheduled",IF(TODAY()&gt;J63+5,"Follow up","Sent"))))))</f>
        <v/>
      </c>
    </row>
    <row r="64">
      <c r="D64">
        <f>IF(C64="","",IFERROR(VLOOKUP(C64,Organisations!$A:$B,2,FALSE),""))</f>
        <v/>
      </c>
      <c r="H64" s="5" t="n"/>
      <c r="I64" s="17" t="n"/>
      <c r="J64" s="17" t="n"/>
      <c r="L64" s="17" t="n"/>
      <c r="M64">
        <f>IF(AND(J64&lt;&gt;"",L64&lt;&gt;""),L64-J64,"")</f>
        <v/>
      </c>
      <c r="N64" s="17">
        <f>IF(AND(J64&lt;&gt;"",L64=""),J64+5,"")</f>
        <v/>
      </c>
      <c r="O64" s="17" t="n"/>
      <c r="S64">
        <f>IF(A64="","",IF(R64&lt;&gt;"Open",R64,IF(P64="Yes","Booked",IF(L64&lt;&gt;"","Replied",IF(J64="","Scheduled",IF(TODAY()&gt;J64+5,"Follow up","Sent"))))))</f>
        <v/>
      </c>
    </row>
    <row r="65">
      <c r="D65">
        <f>IF(C65="","",IFERROR(VLOOKUP(C65,Organisations!$A:$B,2,FALSE),""))</f>
        <v/>
      </c>
      <c r="H65" s="5" t="n"/>
      <c r="I65" s="17" t="n"/>
      <c r="J65" s="17" t="n"/>
      <c r="L65" s="17" t="n"/>
      <c r="M65">
        <f>IF(AND(J65&lt;&gt;"",L65&lt;&gt;""),L65-J65,"")</f>
        <v/>
      </c>
      <c r="N65" s="17">
        <f>IF(AND(J65&lt;&gt;"",L65=""),J65+5,"")</f>
        <v/>
      </c>
      <c r="O65" s="17" t="n"/>
      <c r="S65">
        <f>IF(A65="","",IF(R65&lt;&gt;"Open",R65,IF(P65="Yes","Booked",IF(L65&lt;&gt;"","Replied",IF(J65="","Scheduled",IF(TODAY()&gt;J65+5,"Follow up","Sent"))))))</f>
        <v/>
      </c>
    </row>
    <row r="66">
      <c r="D66">
        <f>IF(C66="","",IFERROR(VLOOKUP(C66,Organisations!$A:$B,2,FALSE),""))</f>
        <v/>
      </c>
      <c r="H66" s="5" t="n"/>
      <c r="I66" s="17" t="n"/>
      <c r="J66" s="17" t="n"/>
      <c r="L66" s="17" t="n"/>
      <c r="M66">
        <f>IF(AND(J66&lt;&gt;"",L66&lt;&gt;""),L66-J66,"")</f>
        <v/>
      </c>
      <c r="N66" s="17">
        <f>IF(AND(J66&lt;&gt;"",L66=""),J66+5,"")</f>
        <v/>
      </c>
      <c r="O66" s="17" t="n"/>
      <c r="S66">
        <f>IF(A66="","",IF(R66&lt;&gt;"Open",R66,IF(P66="Yes","Booked",IF(L66&lt;&gt;"","Replied",IF(J66="","Scheduled",IF(TODAY()&gt;J66+5,"Follow up","Sent"))))))</f>
        <v/>
      </c>
    </row>
    <row r="67">
      <c r="D67">
        <f>IF(C67="","",IFERROR(VLOOKUP(C67,Organisations!$A:$B,2,FALSE),""))</f>
        <v/>
      </c>
      <c r="H67" s="5" t="n"/>
      <c r="I67" s="17" t="n"/>
      <c r="J67" s="17" t="n"/>
      <c r="L67" s="17" t="n"/>
      <c r="M67">
        <f>IF(AND(J67&lt;&gt;"",L67&lt;&gt;""),L67-J67,"")</f>
        <v/>
      </c>
      <c r="N67" s="17">
        <f>IF(AND(J67&lt;&gt;"",L67=""),J67+5,"")</f>
        <v/>
      </c>
      <c r="O67" s="17" t="n"/>
      <c r="S67">
        <f>IF(A67="","",IF(R67&lt;&gt;"Open",R67,IF(P67="Yes","Booked",IF(L67&lt;&gt;"","Replied",IF(J67="","Scheduled",IF(TODAY()&gt;J67+5,"Follow up","Sent"))))))</f>
        <v/>
      </c>
    </row>
    <row r="68">
      <c r="D68">
        <f>IF(C68="","",IFERROR(VLOOKUP(C68,Organisations!$A:$B,2,FALSE),""))</f>
        <v/>
      </c>
      <c r="H68" s="5" t="n"/>
      <c r="I68" s="17" t="n"/>
      <c r="J68" s="17" t="n"/>
      <c r="L68" s="17" t="n"/>
      <c r="M68">
        <f>IF(AND(J68&lt;&gt;"",L68&lt;&gt;""),L68-J68,"")</f>
        <v/>
      </c>
      <c r="N68" s="17">
        <f>IF(AND(J68&lt;&gt;"",L68=""),J68+5,"")</f>
        <v/>
      </c>
      <c r="O68" s="17" t="n"/>
      <c r="S68">
        <f>IF(A68="","",IF(R68&lt;&gt;"Open",R68,IF(P68="Yes","Booked",IF(L68&lt;&gt;"","Replied",IF(J68="","Scheduled",IF(TODAY()&gt;J68+5,"Follow up","Sent"))))))</f>
        <v/>
      </c>
    </row>
    <row r="69">
      <c r="D69">
        <f>IF(C69="","",IFERROR(VLOOKUP(C69,Organisations!$A:$B,2,FALSE),""))</f>
        <v/>
      </c>
      <c r="H69" s="5" t="n"/>
      <c r="I69" s="17" t="n"/>
      <c r="J69" s="17" t="n"/>
      <c r="L69" s="17" t="n"/>
      <c r="M69">
        <f>IF(AND(J69&lt;&gt;"",L69&lt;&gt;""),L69-J69,"")</f>
        <v/>
      </c>
      <c r="N69" s="17">
        <f>IF(AND(J69&lt;&gt;"",L69=""),J69+5,"")</f>
        <v/>
      </c>
      <c r="O69" s="17" t="n"/>
      <c r="S69">
        <f>IF(A69="","",IF(R69&lt;&gt;"Open",R69,IF(P69="Yes","Booked",IF(L69&lt;&gt;"","Replied",IF(J69="","Scheduled",IF(TODAY()&gt;J69+5,"Follow up","Sent"))))))</f>
        <v/>
      </c>
    </row>
    <row r="70">
      <c r="D70">
        <f>IF(C70="","",IFERROR(VLOOKUP(C70,Organisations!$A:$B,2,FALSE),""))</f>
        <v/>
      </c>
      <c r="H70" s="5" t="n"/>
      <c r="I70" s="17" t="n"/>
      <c r="J70" s="17" t="n"/>
      <c r="L70" s="17" t="n"/>
      <c r="M70">
        <f>IF(AND(J70&lt;&gt;"",L70&lt;&gt;""),L70-J70,"")</f>
        <v/>
      </c>
      <c r="N70" s="17">
        <f>IF(AND(J70&lt;&gt;"",L70=""),J70+5,"")</f>
        <v/>
      </c>
      <c r="O70" s="17" t="n"/>
      <c r="S70">
        <f>IF(A70="","",IF(R70&lt;&gt;"Open",R70,IF(P70="Yes","Booked",IF(L70&lt;&gt;"","Replied",IF(J70="","Scheduled",IF(TODAY()&gt;J70+5,"Follow up","Sent"))))))</f>
        <v/>
      </c>
    </row>
    <row r="71">
      <c r="D71">
        <f>IF(C71="","",IFERROR(VLOOKUP(C71,Organisations!$A:$B,2,FALSE),""))</f>
        <v/>
      </c>
      <c r="H71" s="5" t="n"/>
      <c r="I71" s="17" t="n"/>
      <c r="J71" s="17" t="n"/>
      <c r="L71" s="17" t="n"/>
      <c r="M71">
        <f>IF(AND(J71&lt;&gt;"",L71&lt;&gt;""),L71-J71,"")</f>
        <v/>
      </c>
      <c r="N71" s="17">
        <f>IF(AND(J71&lt;&gt;"",L71=""),J71+5,"")</f>
        <v/>
      </c>
      <c r="O71" s="17" t="n"/>
      <c r="S71">
        <f>IF(A71="","",IF(R71&lt;&gt;"Open",R71,IF(P71="Yes","Booked",IF(L71&lt;&gt;"","Replied",IF(J71="","Scheduled",IF(TODAY()&gt;J71+5,"Follow up","Sent"))))))</f>
        <v/>
      </c>
    </row>
    <row r="72">
      <c r="D72">
        <f>IF(C72="","",IFERROR(VLOOKUP(C72,Organisations!$A:$B,2,FALSE),""))</f>
        <v/>
      </c>
      <c r="H72" s="5" t="n"/>
      <c r="I72" s="17" t="n"/>
      <c r="J72" s="17" t="n"/>
      <c r="L72" s="17" t="n"/>
      <c r="M72">
        <f>IF(AND(J72&lt;&gt;"",L72&lt;&gt;""),L72-J72,"")</f>
        <v/>
      </c>
      <c r="N72" s="17">
        <f>IF(AND(J72&lt;&gt;"",L72=""),J72+5,"")</f>
        <v/>
      </c>
      <c r="O72" s="17" t="n"/>
      <c r="S72">
        <f>IF(A72="","",IF(R72&lt;&gt;"Open",R72,IF(P72="Yes","Booked",IF(L72&lt;&gt;"","Replied",IF(J72="","Scheduled",IF(TODAY()&gt;J72+5,"Follow up","Sent"))))))</f>
        <v/>
      </c>
    </row>
    <row r="73">
      <c r="D73">
        <f>IF(C73="","",IFERROR(VLOOKUP(C73,Organisations!$A:$B,2,FALSE),""))</f>
        <v/>
      </c>
      <c r="H73" s="5" t="n"/>
      <c r="I73" s="17" t="n"/>
      <c r="J73" s="17" t="n"/>
      <c r="L73" s="17" t="n"/>
      <c r="M73">
        <f>IF(AND(J73&lt;&gt;"",L73&lt;&gt;""),L73-J73,"")</f>
        <v/>
      </c>
      <c r="N73" s="17">
        <f>IF(AND(J73&lt;&gt;"",L73=""),J73+5,"")</f>
        <v/>
      </c>
      <c r="O73" s="17" t="n"/>
      <c r="S73">
        <f>IF(A73="","",IF(R73&lt;&gt;"Open",R73,IF(P73="Yes","Booked",IF(L73&lt;&gt;"","Replied",IF(J73="","Scheduled",IF(TODAY()&gt;J73+5,"Follow up","Sent"))))))</f>
        <v/>
      </c>
    </row>
    <row r="74">
      <c r="D74">
        <f>IF(C74="","",IFERROR(VLOOKUP(C74,Organisations!$A:$B,2,FALSE),""))</f>
        <v/>
      </c>
      <c r="H74" s="5" t="n"/>
      <c r="I74" s="17" t="n"/>
      <c r="J74" s="17" t="n"/>
      <c r="L74" s="17" t="n"/>
      <c r="M74">
        <f>IF(AND(J74&lt;&gt;"",L74&lt;&gt;""),L74-J74,"")</f>
        <v/>
      </c>
      <c r="N74" s="17">
        <f>IF(AND(J74&lt;&gt;"",L74=""),J74+5,"")</f>
        <v/>
      </c>
      <c r="O74" s="17" t="n"/>
      <c r="S74">
        <f>IF(A74="","",IF(R74&lt;&gt;"Open",R74,IF(P74="Yes","Booked",IF(L74&lt;&gt;"","Replied",IF(J74="","Scheduled",IF(TODAY()&gt;J74+5,"Follow up","Sent"))))))</f>
        <v/>
      </c>
    </row>
    <row r="75">
      <c r="D75">
        <f>IF(C75="","",IFERROR(VLOOKUP(C75,Organisations!$A:$B,2,FALSE),""))</f>
        <v/>
      </c>
      <c r="H75" s="5" t="n"/>
      <c r="I75" s="17" t="n"/>
      <c r="J75" s="17" t="n"/>
      <c r="L75" s="17" t="n"/>
      <c r="M75">
        <f>IF(AND(J75&lt;&gt;"",L75&lt;&gt;""),L75-J75,"")</f>
        <v/>
      </c>
      <c r="N75" s="17">
        <f>IF(AND(J75&lt;&gt;"",L75=""),J75+5,"")</f>
        <v/>
      </c>
      <c r="O75" s="17" t="n"/>
      <c r="S75">
        <f>IF(A75="","",IF(R75&lt;&gt;"Open",R75,IF(P75="Yes","Booked",IF(L75&lt;&gt;"","Replied",IF(J75="","Scheduled",IF(TODAY()&gt;J75+5,"Follow up","Sent"))))))</f>
        <v/>
      </c>
    </row>
    <row r="76">
      <c r="D76">
        <f>IF(C76="","",IFERROR(VLOOKUP(C76,Organisations!$A:$B,2,FALSE),""))</f>
        <v/>
      </c>
      <c r="H76" s="5" t="n"/>
      <c r="I76" s="17" t="n"/>
      <c r="J76" s="17" t="n"/>
      <c r="L76" s="17" t="n"/>
      <c r="M76">
        <f>IF(AND(J76&lt;&gt;"",L76&lt;&gt;""),L76-J76,"")</f>
        <v/>
      </c>
      <c r="N76" s="17">
        <f>IF(AND(J76&lt;&gt;"",L76=""),J76+5,"")</f>
        <v/>
      </c>
      <c r="O76" s="17" t="n"/>
      <c r="S76">
        <f>IF(A76="","",IF(R76&lt;&gt;"Open",R76,IF(P76="Yes","Booked",IF(L76&lt;&gt;"","Replied",IF(J76="","Scheduled",IF(TODAY()&gt;J76+5,"Follow up","Sent"))))))</f>
        <v/>
      </c>
    </row>
    <row r="77">
      <c r="D77">
        <f>IF(C77="","",IFERROR(VLOOKUP(C77,Organisations!$A:$B,2,FALSE),""))</f>
        <v/>
      </c>
      <c r="H77" s="5" t="n"/>
      <c r="I77" s="17" t="n"/>
      <c r="J77" s="17" t="n"/>
      <c r="L77" s="17" t="n"/>
      <c r="M77">
        <f>IF(AND(J77&lt;&gt;"",L77&lt;&gt;""),L77-J77,"")</f>
        <v/>
      </c>
      <c r="N77" s="17">
        <f>IF(AND(J77&lt;&gt;"",L77=""),J77+5,"")</f>
        <v/>
      </c>
      <c r="O77" s="17" t="n"/>
      <c r="S77">
        <f>IF(A77="","",IF(R77&lt;&gt;"Open",R77,IF(P77="Yes","Booked",IF(L77&lt;&gt;"","Replied",IF(J77="","Scheduled",IF(TODAY()&gt;J77+5,"Follow up","Sent"))))))</f>
        <v/>
      </c>
    </row>
    <row r="78">
      <c r="D78">
        <f>IF(C78="","",IFERROR(VLOOKUP(C78,Organisations!$A:$B,2,FALSE),""))</f>
        <v/>
      </c>
      <c r="H78" s="5" t="n"/>
      <c r="I78" s="17" t="n"/>
      <c r="J78" s="17" t="n"/>
      <c r="L78" s="17" t="n"/>
      <c r="M78">
        <f>IF(AND(J78&lt;&gt;"",L78&lt;&gt;""),L78-J78,"")</f>
        <v/>
      </c>
      <c r="N78" s="17">
        <f>IF(AND(J78&lt;&gt;"",L78=""),J78+5,"")</f>
        <v/>
      </c>
      <c r="O78" s="17" t="n"/>
      <c r="S78">
        <f>IF(A78="","",IF(R78&lt;&gt;"Open",R78,IF(P78="Yes","Booked",IF(L78&lt;&gt;"","Replied",IF(J78="","Scheduled",IF(TODAY()&gt;J78+5,"Follow up","Sent"))))))</f>
        <v/>
      </c>
    </row>
    <row r="79">
      <c r="D79">
        <f>IF(C79="","",IFERROR(VLOOKUP(C79,Organisations!$A:$B,2,FALSE),""))</f>
        <v/>
      </c>
      <c r="H79" s="5" t="n"/>
      <c r="I79" s="17" t="n"/>
      <c r="J79" s="17" t="n"/>
      <c r="L79" s="17" t="n"/>
      <c r="M79">
        <f>IF(AND(J79&lt;&gt;"",L79&lt;&gt;""),L79-J79,"")</f>
        <v/>
      </c>
      <c r="N79" s="17">
        <f>IF(AND(J79&lt;&gt;"",L79=""),J79+5,"")</f>
        <v/>
      </c>
      <c r="O79" s="17" t="n"/>
      <c r="S79">
        <f>IF(A79="","",IF(R79&lt;&gt;"Open",R79,IF(P79="Yes","Booked",IF(L79&lt;&gt;"","Replied",IF(J79="","Scheduled",IF(TODAY()&gt;J79+5,"Follow up","Sent"))))))</f>
        <v/>
      </c>
    </row>
    <row r="80">
      <c r="D80">
        <f>IF(C80="","",IFERROR(VLOOKUP(C80,Organisations!$A:$B,2,FALSE),""))</f>
        <v/>
      </c>
      <c r="H80" s="5" t="n"/>
      <c r="I80" s="17" t="n"/>
      <c r="J80" s="17" t="n"/>
      <c r="L80" s="17" t="n"/>
      <c r="M80">
        <f>IF(AND(J80&lt;&gt;"",L80&lt;&gt;""),L80-J80,"")</f>
        <v/>
      </c>
      <c r="N80" s="17">
        <f>IF(AND(J80&lt;&gt;"",L80=""),J80+5,"")</f>
        <v/>
      </c>
      <c r="O80" s="17" t="n"/>
      <c r="S80">
        <f>IF(A80="","",IF(R80&lt;&gt;"Open",R80,IF(P80="Yes","Booked",IF(L80&lt;&gt;"","Replied",IF(J80="","Scheduled",IF(TODAY()&gt;J80+5,"Follow up","Sent"))))))</f>
        <v/>
      </c>
    </row>
    <row r="81">
      <c r="D81">
        <f>IF(C81="","",IFERROR(VLOOKUP(C81,Organisations!$A:$B,2,FALSE),""))</f>
        <v/>
      </c>
      <c r="H81" s="5" t="n"/>
      <c r="I81" s="17" t="n"/>
      <c r="J81" s="17" t="n"/>
      <c r="L81" s="17" t="n"/>
      <c r="M81">
        <f>IF(AND(J81&lt;&gt;"",L81&lt;&gt;""),L81-J81,"")</f>
        <v/>
      </c>
      <c r="N81" s="17">
        <f>IF(AND(J81&lt;&gt;"",L81=""),J81+5,"")</f>
        <v/>
      </c>
      <c r="O81" s="17" t="n"/>
      <c r="S81">
        <f>IF(A81="","",IF(R81&lt;&gt;"Open",R81,IF(P81="Yes","Booked",IF(L81&lt;&gt;"","Replied",IF(J81="","Scheduled",IF(TODAY()&gt;J81+5,"Follow up","Sent"))))))</f>
        <v/>
      </c>
    </row>
    <row r="82">
      <c r="D82">
        <f>IF(C82="","",IFERROR(VLOOKUP(C82,Organisations!$A:$B,2,FALSE),""))</f>
        <v/>
      </c>
      <c r="H82" s="5" t="n"/>
      <c r="I82" s="17" t="n"/>
      <c r="J82" s="17" t="n"/>
      <c r="L82" s="17" t="n"/>
      <c r="M82">
        <f>IF(AND(J82&lt;&gt;"",L82&lt;&gt;""),L82-J82,"")</f>
        <v/>
      </c>
      <c r="N82" s="17">
        <f>IF(AND(J82&lt;&gt;"",L82=""),J82+5,"")</f>
        <v/>
      </c>
      <c r="O82" s="17" t="n"/>
      <c r="S82">
        <f>IF(A82="","",IF(R82&lt;&gt;"Open",R82,IF(P82="Yes","Booked",IF(L82&lt;&gt;"","Replied",IF(J82="","Scheduled",IF(TODAY()&gt;J82+5,"Follow up","Sent"))))))</f>
        <v/>
      </c>
    </row>
    <row r="83">
      <c r="D83">
        <f>IF(C83="","",IFERROR(VLOOKUP(C83,Organisations!$A:$B,2,FALSE),""))</f>
        <v/>
      </c>
      <c r="H83" s="5" t="n"/>
      <c r="I83" s="17" t="n"/>
      <c r="J83" s="17" t="n"/>
      <c r="L83" s="17" t="n"/>
      <c r="M83">
        <f>IF(AND(J83&lt;&gt;"",L83&lt;&gt;""),L83-J83,"")</f>
        <v/>
      </c>
      <c r="N83" s="17">
        <f>IF(AND(J83&lt;&gt;"",L83=""),J83+5,"")</f>
        <v/>
      </c>
      <c r="O83" s="17" t="n"/>
      <c r="S83">
        <f>IF(A83="","",IF(R83&lt;&gt;"Open",R83,IF(P83="Yes","Booked",IF(L83&lt;&gt;"","Replied",IF(J83="","Scheduled",IF(TODAY()&gt;J83+5,"Follow up","Sent"))))))</f>
        <v/>
      </c>
    </row>
    <row r="84">
      <c r="D84">
        <f>IF(C84="","",IFERROR(VLOOKUP(C84,Organisations!$A:$B,2,FALSE),""))</f>
        <v/>
      </c>
      <c r="H84" s="5" t="n"/>
      <c r="I84" s="17" t="n"/>
      <c r="J84" s="17" t="n"/>
      <c r="L84" s="17" t="n"/>
      <c r="M84">
        <f>IF(AND(J84&lt;&gt;"",L84&lt;&gt;""),L84-J84,"")</f>
        <v/>
      </c>
      <c r="N84" s="17">
        <f>IF(AND(J84&lt;&gt;"",L84=""),J84+5,"")</f>
        <v/>
      </c>
      <c r="O84" s="17" t="n"/>
      <c r="S84">
        <f>IF(A84="","",IF(R84&lt;&gt;"Open",R84,IF(P84="Yes","Booked",IF(L84&lt;&gt;"","Replied",IF(J84="","Scheduled",IF(TODAY()&gt;J84+5,"Follow up","Sent"))))))</f>
        <v/>
      </c>
    </row>
    <row r="85">
      <c r="D85">
        <f>IF(C85="","",IFERROR(VLOOKUP(C85,Organisations!$A:$B,2,FALSE),""))</f>
        <v/>
      </c>
      <c r="H85" s="5" t="n"/>
      <c r="I85" s="17" t="n"/>
      <c r="J85" s="17" t="n"/>
      <c r="L85" s="17" t="n"/>
      <c r="M85">
        <f>IF(AND(J85&lt;&gt;"",L85&lt;&gt;""),L85-J85,"")</f>
        <v/>
      </c>
      <c r="N85" s="17">
        <f>IF(AND(J85&lt;&gt;"",L85=""),J85+5,"")</f>
        <v/>
      </c>
      <c r="O85" s="17" t="n"/>
      <c r="S85">
        <f>IF(A85="","",IF(R85&lt;&gt;"Open",R85,IF(P85="Yes","Booked",IF(L85&lt;&gt;"","Replied",IF(J85="","Scheduled",IF(TODAY()&gt;J85+5,"Follow up","Sent"))))))</f>
        <v/>
      </c>
    </row>
    <row r="86">
      <c r="D86">
        <f>IF(C86="","",IFERROR(VLOOKUP(C86,Organisations!$A:$B,2,FALSE),""))</f>
        <v/>
      </c>
      <c r="H86" s="5" t="n"/>
      <c r="I86" s="17" t="n"/>
      <c r="J86" s="17" t="n"/>
      <c r="L86" s="17" t="n"/>
      <c r="M86">
        <f>IF(AND(J86&lt;&gt;"",L86&lt;&gt;""),L86-J86,"")</f>
        <v/>
      </c>
      <c r="N86" s="17">
        <f>IF(AND(J86&lt;&gt;"",L86=""),J86+5,"")</f>
        <v/>
      </c>
      <c r="O86" s="17" t="n"/>
      <c r="S86">
        <f>IF(A86="","",IF(R86&lt;&gt;"Open",R86,IF(P86="Yes","Booked",IF(L86&lt;&gt;"","Replied",IF(J86="","Scheduled",IF(TODAY()&gt;J86+5,"Follow up","Sent"))))))</f>
        <v/>
      </c>
    </row>
    <row r="87">
      <c r="D87">
        <f>IF(C87="","",IFERROR(VLOOKUP(C87,Organisations!$A:$B,2,FALSE),""))</f>
        <v/>
      </c>
      <c r="H87" s="5" t="n"/>
      <c r="I87" s="17" t="n"/>
      <c r="J87" s="17" t="n"/>
      <c r="L87" s="17" t="n"/>
      <c r="M87">
        <f>IF(AND(J87&lt;&gt;"",L87&lt;&gt;""),L87-J87,"")</f>
        <v/>
      </c>
      <c r="N87" s="17">
        <f>IF(AND(J87&lt;&gt;"",L87=""),J87+5,"")</f>
        <v/>
      </c>
      <c r="O87" s="17" t="n"/>
      <c r="S87">
        <f>IF(A87="","",IF(R87&lt;&gt;"Open",R87,IF(P87="Yes","Booked",IF(L87&lt;&gt;"","Replied",IF(J87="","Scheduled",IF(TODAY()&gt;J87+5,"Follow up","Sent"))))))</f>
        <v/>
      </c>
    </row>
    <row r="88">
      <c r="D88">
        <f>IF(C88="","",IFERROR(VLOOKUP(C88,Organisations!$A:$B,2,FALSE),""))</f>
        <v/>
      </c>
      <c r="H88" s="5" t="n"/>
      <c r="I88" s="17" t="n"/>
      <c r="J88" s="17" t="n"/>
      <c r="L88" s="17" t="n"/>
      <c r="M88">
        <f>IF(AND(J88&lt;&gt;"",L88&lt;&gt;""),L88-J88,"")</f>
        <v/>
      </c>
      <c r="N88" s="17">
        <f>IF(AND(J88&lt;&gt;"",L88=""),J88+5,"")</f>
        <v/>
      </c>
      <c r="O88" s="17" t="n"/>
      <c r="S88">
        <f>IF(A88="","",IF(R88&lt;&gt;"Open",R88,IF(P88="Yes","Booked",IF(L88&lt;&gt;"","Replied",IF(J88="","Scheduled",IF(TODAY()&gt;J88+5,"Follow up","Sent"))))))</f>
        <v/>
      </c>
    </row>
    <row r="89">
      <c r="D89">
        <f>IF(C89="","",IFERROR(VLOOKUP(C89,Organisations!$A:$B,2,FALSE),""))</f>
        <v/>
      </c>
      <c r="H89" s="5" t="n"/>
      <c r="I89" s="17" t="n"/>
      <c r="J89" s="17" t="n"/>
      <c r="L89" s="17" t="n"/>
      <c r="M89">
        <f>IF(AND(J89&lt;&gt;"",L89&lt;&gt;""),L89-J89,"")</f>
        <v/>
      </c>
      <c r="N89" s="17">
        <f>IF(AND(J89&lt;&gt;"",L89=""),J89+5,"")</f>
        <v/>
      </c>
      <c r="O89" s="17" t="n"/>
      <c r="S89">
        <f>IF(A89="","",IF(R89&lt;&gt;"Open",R89,IF(P89="Yes","Booked",IF(L89&lt;&gt;"","Replied",IF(J89="","Scheduled",IF(TODAY()&gt;J89+5,"Follow up","Sent"))))))</f>
        <v/>
      </c>
    </row>
    <row r="90">
      <c r="D90">
        <f>IF(C90="","",IFERROR(VLOOKUP(C90,Organisations!$A:$B,2,FALSE),""))</f>
        <v/>
      </c>
      <c r="H90" s="5" t="n"/>
      <c r="I90" s="17" t="n"/>
      <c r="J90" s="17" t="n"/>
      <c r="L90" s="17" t="n"/>
      <c r="M90">
        <f>IF(AND(J90&lt;&gt;"",L90&lt;&gt;""),L90-J90,"")</f>
        <v/>
      </c>
      <c r="N90" s="17">
        <f>IF(AND(J90&lt;&gt;"",L90=""),J90+5,"")</f>
        <v/>
      </c>
      <c r="O90" s="17" t="n"/>
      <c r="S90">
        <f>IF(A90="","",IF(R90&lt;&gt;"Open",R90,IF(P90="Yes","Booked",IF(L90&lt;&gt;"","Replied",IF(J90="","Scheduled",IF(TODAY()&gt;J90+5,"Follow up","Sent"))))))</f>
        <v/>
      </c>
    </row>
    <row r="91">
      <c r="D91">
        <f>IF(C91="","",IFERROR(VLOOKUP(C91,Organisations!$A:$B,2,FALSE),""))</f>
        <v/>
      </c>
      <c r="H91" s="5" t="n"/>
      <c r="I91" s="17" t="n"/>
      <c r="J91" s="17" t="n"/>
      <c r="L91" s="17" t="n"/>
      <c r="M91">
        <f>IF(AND(J91&lt;&gt;"",L91&lt;&gt;""),L91-J91,"")</f>
        <v/>
      </c>
      <c r="N91" s="17">
        <f>IF(AND(J91&lt;&gt;"",L91=""),J91+5,"")</f>
        <v/>
      </c>
      <c r="O91" s="17" t="n"/>
      <c r="S91">
        <f>IF(A91="","",IF(R91&lt;&gt;"Open",R91,IF(P91="Yes","Booked",IF(L91&lt;&gt;"","Replied",IF(J91="","Scheduled",IF(TODAY()&gt;J91+5,"Follow up","Sent"))))))</f>
        <v/>
      </c>
    </row>
    <row r="92">
      <c r="D92">
        <f>IF(C92="","",IFERROR(VLOOKUP(C92,Organisations!$A:$B,2,FALSE),""))</f>
        <v/>
      </c>
      <c r="H92" s="5" t="n"/>
      <c r="I92" s="17" t="n"/>
      <c r="J92" s="17" t="n"/>
      <c r="L92" s="17" t="n"/>
      <c r="M92">
        <f>IF(AND(J92&lt;&gt;"",L92&lt;&gt;""),L92-J92,"")</f>
        <v/>
      </c>
      <c r="N92" s="17">
        <f>IF(AND(J92&lt;&gt;"",L92=""),J92+5,"")</f>
        <v/>
      </c>
      <c r="O92" s="17" t="n"/>
      <c r="S92">
        <f>IF(A92="","",IF(R92&lt;&gt;"Open",R92,IF(P92="Yes","Booked",IF(L92&lt;&gt;"","Replied",IF(J92="","Scheduled",IF(TODAY()&gt;J92+5,"Follow up","Sent"))))))</f>
        <v/>
      </c>
    </row>
    <row r="93">
      <c r="D93">
        <f>IF(C93="","",IFERROR(VLOOKUP(C93,Organisations!$A:$B,2,FALSE),""))</f>
        <v/>
      </c>
      <c r="H93" s="5" t="n"/>
      <c r="I93" s="17" t="n"/>
      <c r="J93" s="17" t="n"/>
      <c r="L93" s="17" t="n"/>
      <c r="M93">
        <f>IF(AND(J93&lt;&gt;"",L93&lt;&gt;""),L93-J93,"")</f>
        <v/>
      </c>
      <c r="N93" s="17">
        <f>IF(AND(J93&lt;&gt;"",L93=""),J93+5,"")</f>
        <v/>
      </c>
      <c r="O93" s="17" t="n"/>
      <c r="S93">
        <f>IF(A93="","",IF(R93&lt;&gt;"Open",R93,IF(P93="Yes","Booked",IF(L93&lt;&gt;"","Replied",IF(J93="","Scheduled",IF(TODAY()&gt;J93+5,"Follow up","Sent"))))))</f>
        <v/>
      </c>
    </row>
    <row r="94">
      <c r="D94">
        <f>IF(C94="","",IFERROR(VLOOKUP(C94,Organisations!$A:$B,2,FALSE),""))</f>
        <v/>
      </c>
      <c r="H94" s="5" t="n"/>
      <c r="I94" s="17" t="n"/>
      <c r="J94" s="17" t="n"/>
      <c r="L94" s="17" t="n"/>
      <c r="M94">
        <f>IF(AND(J94&lt;&gt;"",L94&lt;&gt;""),L94-J94,"")</f>
        <v/>
      </c>
      <c r="N94" s="17">
        <f>IF(AND(J94&lt;&gt;"",L94=""),J94+5,"")</f>
        <v/>
      </c>
      <c r="O94" s="17" t="n"/>
      <c r="S94">
        <f>IF(A94="","",IF(R94&lt;&gt;"Open",R94,IF(P94="Yes","Booked",IF(L94&lt;&gt;"","Replied",IF(J94="","Scheduled",IF(TODAY()&gt;J94+5,"Follow up","Sent"))))))</f>
        <v/>
      </c>
    </row>
    <row r="95">
      <c r="D95">
        <f>IF(C95="","",IFERROR(VLOOKUP(C95,Organisations!$A:$B,2,FALSE),""))</f>
        <v/>
      </c>
      <c r="H95" s="5" t="n"/>
      <c r="I95" s="17" t="n"/>
      <c r="J95" s="17" t="n"/>
      <c r="L95" s="17" t="n"/>
      <c r="M95">
        <f>IF(AND(J95&lt;&gt;"",L95&lt;&gt;""),L95-J95,"")</f>
        <v/>
      </c>
      <c r="N95" s="17">
        <f>IF(AND(J95&lt;&gt;"",L95=""),J95+5,"")</f>
        <v/>
      </c>
      <c r="O95" s="17" t="n"/>
      <c r="S95">
        <f>IF(A95="","",IF(R95&lt;&gt;"Open",R95,IF(P95="Yes","Booked",IF(L95&lt;&gt;"","Replied",IF(J95="","Scheduled",IF(TODAY()&gt;J95+5,"Follow up","Sent"))))))</f>
        <v/>
      </c>
    </row>
    <row r="96">
      <c r="D96">
        <f>IF(C96="","",IFERROR(VLOOKUP(C96,Organisations!$A:$B,2,FALSE),""))</f>
        <v/>
      </c>
      <c r="H96" s="5" t="n"/>
      <c r="I96" s="17" t="n"/>
      <c r="J96" s="17" t="n"/>
      <c r="L96" s="17" t="n"/>
      <c r="M96">
        <f>IF(AND(J96&lt;&gt;"",L96&lt;&gt;""),L96-J96,"")</f>
        <v/>
      </c>
      <c r="N96" s="17">
        <f>IF(AND(J96&lt;&gt;"",L96=""),J96+5,"")</f>
        <v/>
      </c>
      <c r="O96" s="17" t="n"/>
      <c r="S96">
        <f>IF(A96="","",IF(R96&lt;&gt;"Open",R96,IF(P96="Yes","Booked",IF(L96&lt;&gt;"","Replied",IF(J96="","Scheduled",IF(TODAY()&gt;J96+5,"Follow up","Sent"))))))</f>
        <v/>
      </c>
    </row>
    <row r="97">
      <c r="D97">
        <f>IF(C97="","",IFERROR(VLOOKUP(C97,Organisations!$A:$B,2,FALSE),""))</f>
        <v/>
      </c>
      <c r="H97" s="5" t="n"/>
      <c r="I97" s="17" t="n"/>
      <c r="J97" s="17" t="n"/>
      <c r="L97" s="17" t="n"/>
      <c r="M97">
        <f>IF(AND(J97&lt;&gt;"",L97&lt;&gt;""),L97-J97,"")</f>
        <v/>
      </c>
      <c r="N97" s="17">
        <f>IF(AND(J97&lt;&gt;"",L97=""),J97+5,"")</f>
        <v/>
      </c>
      <c r="O97" s="17" t="n"/>
      <c r="S97">
        <f>IF(A97="","",IF(R97&lt;&gt;"Open",R97,IF(P97="Yes","Booked",IF(L97&lt;&gt;"","Replied",IF(J97="","Scheduled",IF(TODAY()&gt;J97+5,"Follow up","Sent"))))))</f>
        <v/>
      </c>
    </row>
    <row r="98">
      <c r="D98">
        <f>IF(C98="","",IFERROR(VLOOKUP(C98,Organisations!$A:$B,2,FALSE),""))</f>
        <v/>
      </c>
      <c r="H98" s="5" t="n"/>
      <c r="I98" s="17" t="n"/>
      <c r="J98" s="17" t="n"/>
      <c r="L98" s="17" t="n"/>
      <c r="M98">
        <f>IF(AND(J98&lt;&gt;"",L98&lt;&gt;""),L98-J98,"")</f>
        <v/>
      </c>
      <c r="N98" s="17">
        <f>IF(AND(J98&lt;&gt;"",L98=""),J98+5,"")</f>
        <v/>
      </c>
      <c r="O98" s="17" t="n"/>
      <c r="S98">
        <f>IF(A98="","",IF(R98&lt;&gt;"Open",R98,IF(P98="Yes","Booked",IF(L98&lt;&gt;"","Replied",IF(J98="","Scheduled",IF(TODAY()&gt;J98+5,"Follow up","Sent"))))))</f>
        <v/>
      </c>
    </row>
    <row r="99">
      <c r="D99">
        <f>IF(C99="","",IFERROR(VLOOKUP(C99,Organisations!$A:$B,2,FALSE),""))</f>
        <v/>
      </c>
      <c r="H99" s="5" t="n"/>
      <c r="I99" s="17" t="n"/>
      <c r="J99" s="17" t="n"/>
      <c r="L99" s="17" t="n"/>
      <c r="M99">
        <f>IF(AND(J99&lt;&gt;"",L99&lt;&gt;""),L99-J99,"")</f>
        <v/>
      </c>
      <c r="N99" s="17">
        <f>IF(AND(J99&lt;&gt;"",L99=""),J99+5,"")</f>
        <v/>
      </c>
      <c r="O99" s="17" t="n"/>
      <c r="S99">
        <f>IF(A99="","",IF(R99&lt;&gt;"Open",R99,IF(P99="Yes","Booked",IF(L99&lt;&gt;"","Replied",IF(J99="","Scheduled",IF(TODAY()&gt;J99+5,"Follow up","Sent"))))))</f>
        <v/>
      </c>
    </row>
    <row r="100">
      <c r="D100">
        <f>IF(C100="","",IFERROR(VLOOKUP(C100,Organisations!$A:$B,2,FALSE),""))</f>
        <v/>
      </c>
      <c r="H100" s="5" t="n"/>
      <c r="I100" s="17" t="n"/>
      <c r="J100" s="17" t="n"/>
      <c r="L100" s="17" t="n"/>
      <c r="M100">
        <f>IF(AND(J100&lt;&gt;"",L100&lt;&gt;""),L100-J100,"")</f>
        <v/>
      </c>
      <c r="N100" s="17">
        <f>IF(AND(J100&lt;&gt;"",L100=""),J100+5,"")</f>
        <v/>
      </c>
      <c r="O100" s="17" t="n"/>
      <c r="S100">
        <f>IF(A100="","",IF(R100&lt;&gt;"Open",R100,IF(P100="Yes","Booked",IF(L100&lt;&gt;"","Replied",IF(J100="","Scheduled",IF(TODAY()&gt;J100+5,"Follow up","Sent"))))))</f>
        <v/>
      </c>
    </row>
    <row r="101">
      <c r="D101">
        <f>IF(C101="","",IFERROR(VLOOKUP(C101,Organisations!$A:$B,2,FALSE),""))</f>
        <v/>
      </c>
      <c r="H101" s="5" t="n"/>
      <c r="I101" s="17" t="n"/>
      <c r="J101" s="17" t="n"/>
      <c r="L101" s="17" t="n"/>
      <c r="M101">
        <f>IF(AND(J101&lt;&gt;"",L101&lt;&gt;""),L101-J101,"")</f>
        <v/>
      </c>
      <c r="N101" s="17">
        <f>IF(AND(J101&lt;&gt;"",L101=""),J101+5,"")</f>
        <v/>
      </c>
      <c r="O101" s="17" t="n"/>
      <c r="S101">
        <f>IF(A101="","",IF(R101&lt;&gt;"Open",R101,IF(P101="Yes","Booked",IF(L101&lt;&gt;"","Replied",IF(J101="","Scheduled",IF(TODAY()&gt;J101+5,"Follow up","Sent"))))))</f>
        <v/>
      </c>
    </row>
    <row r="102">
      <c r="D102">
        <f>IF(C102="","",IFERROR(VLOOKUP(C102,Organisations!$A:$B,2,FALSE),""))</f>
        <v/>
      </c>
      <c r="H102" s="5" t="n"/>
      <c r="I102" s="17" t="n"/>
      <c r="J102" s="17" t="n"/>
      <c r="L102" s="17" t="n"/>
      <c r="M102">
        <f>IF(AND(J102&lt;&gt;"",L102&lt;&gt;""),L102-J102,"")</f>
        <v/>
      </c>
      <c r="N102" s="17">
        <f>IF(AND(J102&lt;&gt;"",L102=""),J102+5,"")</f>
        <v/>
      </c>
      <c r="O102" s="17" t="n"/>
      <c r="S102">
        <f>IF(A102="","",IF(R102&lt;&gt;"Open",R102,IF(P102="Yes","Booked",IF(L102&lt;&gt;"","Replied",IF(J102="","Scheduled",IF(TODAY()&gt;J102+5,"Follow up","Sent"))))))</f>
        <v/>
      </c>
    </row>
    <row r="103">
      <c r="D103">
        <f>IF(C103="","",IFERROR(VLOOKUP(C103,Organisations!$A:$B,2,FALSE),""))</f>
        <v/>
      </c>
      <c r="H103" s="5" t="n"/>
      <c r="I103" s="17" t="n"/>
      <c r="J103" s="17" t="n"/>
      <c r="L103" s="17" t="n"/>
      <c r="M103">
        <f>IF(AND(J103&lt;&gt;"",L103&lt;&gt;""),L103-J103,"")</f>
        <v/>
      </c>
      <c r="N103" s="17">
        <f>IF(AND(J103&lt;&gt;"",L103=""),J103+5,"")</f>
        <v/>
      </c>
      <c r="O103" s="17" t="n"/>
      <c r="S103">
        <f>IF(A103="","",IF(R103&lt;&gt;"Open",R103,IF(P103="Yes","Booked",IF(L103&lt;&gt;"","Replied",IF(J103="","Scheduled",IF(TODAY()&gt;J103+5,"Follow up","Sent"))))))</f>
        <v/>
      </c>
    </row>
    <row r="104">
      <c r="D104">
        <f>IF(C104="","",IFERROR(VLOOKUP(C104,Organisations!$A:$B,2,FALSE),""))</f>
        <v/>
      </c>
      <c r="H104" s="5" t="n"/>
      <c r="I104" s="17" t="n"/>
      <c r="J104" s="17" t="n"/>
      <c r="L104" s="17" t="n"/>
      <c r="M104">
        <f>IF(AND(J104&lt;&gt;"",L104&lt;&gt;""),L104-J104,"")</f>
        <v/>
      </c>
      <c r="N104" s="17">
        <f>IF(AND(J104&lt;&gt;"",L104=""),J104+5,"")</f>
        <v/>
      </c>
      <c r="O104" s="17" t="n"/>
      <c r="S104">
        <f>IF(A104="","",IF(R104&lt;&gt;"Open",R104,IF(P104="Yes","Booked",IF(L104&lt;&gt;"","Replied",IF(J104="","Scheduled",IF(TODAY()&gt;J104+5,"Follow up","Sent"))))))</f>
        <v/>
      </c>
    </row>
    <row r="105">
      <c r="D105">
        <f>IF(C105="","",IFERROR(VLOOKUP(C105,Organisations!$A:$B,2,FALSE),""))</f>
        <v/>
      </c>
      <c r="H105" s="5" t="n"/>
      <c r="I105" s="17" t="n"/>
      <c r="J105" s="17" t="n"/>
      <c r="L105" s="17" t="n"/>
      <c r="M105">
        <f>IF(AND(J105&lt;&gt;"",L105&lt;&gt;""),L105-J105,"")</f>
        <v/>
      </c>
      <c r="N105" s="17">
        <f>IF(AND(J105&lt;&gt;"",L105=""),J105+5,"")</f>
        <v/>
      </c>
      <c r="O105" s="17" t="n"/>
      <c r="S105">
        <f>IF(A105="","",IF(R105&lt;&gt;"Open",R105,IF(P105="Yes","Booked",IF(L105&lt;&gt;"","Replied",IF(J105="","Scheduled",IF(TODAY()&gt;J105+5,"Follow up","Sent"))))))</f>
        <v/>
      </c>
    </row>
    <row r="106">
      <c r="D106">
        <f>IF(C106="","",IFERROR(VLOOKUP(C106,Organisations!$A:$B,2,FALSE),""))</f>
        <v/>
      </c>
      <c r="H106" s="5" t="n"/>
      <c r="I106" s="17" t="n"/>
      <c r="J106" s="17" t="n"/>
      <c r="L106" s="17" t="n"/>
      <c r="M106">
        <f>IF(AND(J106&lt;&gt;"",L106&lt;&gt;""),L106-J106,"")</f>
        <v/>
      </c>
      <c r="N106" s="17">
        <f>IF(AND(J106&lt;&gt;"",L106=""),J106+5,"")</f>
        <v/>
      </c>
      <c r="O106" s="17" t="n"/>
      <c r="S106">
        <f>IF(A106="","",IF(R106&lt;&gt;"Open",R106,IF(P106="Yes","Booked",IF(L106&lt;&gt;"","Replied",IF(J106="","Scheduled",IF(TODAY()&gt;J106+5,"Follow up","Sent"))))))</f>
        <v/>
      </c>
    </row>
    <row r="107">
      <c r="D107">
        <f>IF(C107="","",IFERROR(VLOOKUP(C107,Organisations!$A:$B,2,FALSE),""))</f>
        <v/>
      </c>
      <c r="H107" s="5" t="n"/>
      <c r="I107" s="17" t="n"/>
      <c r="J107" s="17" t="n"/>
      <c r="L107" s="17" t="n"/>
      <c r="M107">
        <f>IF(AND(J107&lt;&gt;"",L107&lt;&gt;""),L107-J107,"")</f>
        <v/>
      </c>
      <c r="N107" s="17">
        <f>IF(AND(J107&lt;&gt;"",L107=""),J107+5,"")</f>
        <v/>
      </c>
      <c r="O107" s="17" t="n"/>
      <c r="S107">
        <f>IF(A107="","",IF(R107&lt;&gt;"Open",R107,IF(P107="Yes","Booked",IF(L107&lt;&gt;"","Replied",IF(J107="","Scheduled",IF(TODAY()&gt;J107+5,"Follow up","Sent"))))))</f>
        <v/>
      </c>
    </row>
    <row r="108">
      <c r="D108">
        <f>IF(C108="","",IFERROR(VLOOKUP(C108,Organisations!$A:$B,2,FALSE),""))</f>
        <v/>
      </c>
      <c r="H108" s="5" t="n"/>
      <c r="I108" s="17" t="n"/>
      <c r="J108" s="17" t="n"/>
      <c r="L108" s="17" t="n"/>
      <c r="M108">
        <f>IF(AND(J108&lt;&gt;"",L108&lt;&gt;""),L108-J108,"")</f>
        <v/>
      </c>
      <c r="N108" s="17">
        <f>IF(AND(J108&lt;&gt;"",L108=""),J108+5,"")</f>
        <v/>
      </c>
      <c r="O108" s="17" t="n"/>
      <c r="S108">
        <f>IF(A108="","",IF(R108&lt;&gt;"Open",R108,IF(P108="Yes","Booked",IF(L108&lt;&gt;"","Replied",IF(J108="","Scheduled",IF(TODAY()&gt;J108+5,"Follow up","Sent"))))))</f>
        <v/>
      </c>
    </row>
    <row r="109">
      <c r="D109">
        <f>IF(C109="","",IFERROR(VLOOKUP(C109,Organisations!$A:$B,2,FALSE),""))</f>
        <v/>
      </c>
      <c r="H109" s="5" t="n"/>
      <c r="I109" s="17" t="n"/>
      <c r="J109" s="17" t="n"/>
      <c r="L109" s="17" t="n"/>
      <c r="M109">
        <f>IF(AND(J109&lt;&gt;"",L109&lt;&gt;""),L109-J109,"")</f>
        <v/>
      </c>
      <c r="N109" s="17">
        <f>IF(AND(J109&lt;&gt;"",L109=""),J109+5,"")</f>
        <v/>
      </c>
      <c r="O109" s="17" t="n"/>
      <c r="S109">
        <f>IF(A109="","",IF(R109&lt;&gt;"Open",R109,IF(P109="Yes","Booked",IF(L109&lt;&gt;"","Replied",IF(J109="","Scheduled",IF(TODAY()&gt;J109+5,"Follow up","Sent"))))))</f>
        <v/>
      </c>
    </row>
    <row r="110">
      <c r="D110">
        <f>IF(C110="","",IFERROR(VLOOKUP(C110,Organisations!$A:$B,2,FALSE),""))</f>
        <v/>
      </c>
      <c r="H110" s="5" t="n"/>
      <c r="I110" s="17" t="n"/>
      <c r="J110" s="17" t="n"/>
      <c r="L110" s="17" t="n"/>
      <c r="M110">
        <f>IF(AND(J110&lt;&gt;"",L110&lt;&gt;""),L110-J110,"")</f>
        <v/>
      </c>
      <c r="N110" s="17">
        <f>IF(AND(J110&lt;&gt;"",L110=""),J110+5,"")</f>
        <v/>
      </c>
      <c r="O110" s="17" t="n"/>
      <c r="S110">
        <f>IF(A110="","",IF(R110&lt;&gt;"Open",R110,IF(P110="Yes","Booked",IF(L110&lt;&gt;"","Replied",IF(J110="","Scheduled",IF(TODAY()&gt;J110+5,"Follow up","Sent"))))))</f>
        <v/>
      </c>
    </row>
    <row r="111">
      <c r="D111">
        <f>IF(C111="","",IFERROR(VLOOKUP(C111,Organisations!$A:$B,2,FALSE),""))</f>
        <v/>
      </c>
      <c r="H111" s="5" t="n"/>
      <c r="I111" s="17" t="n"/>
      <c r="J111" s="17" t="n"/>
      <c r="L111" s="17" t="n"/>
      <c r="M111">
        <f>IF(AND(J111&lt;&gt;"",L111&lt;&gt;""),L111-J111,"")</f>
        <v/>
      </c>
      <c r="N111" s="17">
        <f>IF(AND(J111&lt;&gt;"",L111=""),J111+5,"")</f>
        <v/>
      </c>
      <c r="O111" s="17" t="n"/>
      <c r="S111">
        <f>IF(A111="","",IF(R111&lt;&gt;"Open",R111,IF(P111="Yes","Booked",IF(L111&lt;&gt;"","Replied",IF(J111="","Scheduled",IF(TODAY()&gt;J111+5,"Follow up","Sent"))))))</f>
        <v/>
      </c>
    </row>
    <row r="112">
      <c r="D112">
        <f>IF(C112="","",IFERROR(VLOOKUP(C112,Organisations!$A:$B,2,FALSE),""))</f>
        <v/>
      </c>
      <c r="H112" s="5" t="n"/>
      <c r="I112" s="17" t="n"/>
      <c r="J112" s="17" t="n"/>
      <c r="L112" s="17" t="n"/>
      <c r="M112">
        <f>IF(AND(J112&lt;&gt;"",L112&lt;&gt;""),L112-J112,"")</f>
        <v/>
      </c>
      <c r="N112" s="17">
        <f>IF(AND(J112&lt;&gt;"",L112=""),J112+5,"")</f>
        <v/>
      </c>
      <c r="O112" s="17" t="n"/>
      <c r="S112">
        <f>IF(A112="","",IF(R112&lt;&gt;"Open",R112,IF(P112="Yes","Booked",IF(L112&lt;&gt;"","Replied",IF(J112="","Scheduled",IF(TODAY()&gt;J112+5,"Follow up","Sent"))))))</f>
        <v/>
      </c>
    </row>
    <row r="113">
      <c r="D113">
        <f>IF(C113="","",IFERROR(VLOOKUP(C113,Organisations!$A:$B,2,FALSE),""))</f>
        <v/>
      </c>
      <c r="H113" s="5" t="n"/>
      <c r="I113" s="17" t="n"/>
      <c r="J113" s="17" t="n"/>
      <c r="L113" s="17" t="n"/>
      <c r="M113">
        <f>IF(AND(J113&lt;&gt;"",L113&lt;&gt;""),L113-J113,"")</f>
        <v/>
      </c>
      <c r="N113" s="17">
        <f>IF(AND(J113&lt;&gt;"",L113=""),J113+5,"")</f>
        <v/>
      </c>
      <c r="O113" s="17" t="n"/>
      <c r="S113">
        <f>IF(A113="","",IF(R113&lt;&gt;"Open",R113,IF(P113="Yes","Booked",IF(L113&lt;&gt;"","Replied",IF(J113="","Scheduled",IF(TODAY()&gt;J113+5,"Follow up","Sent"))))))</f>
        <v/>
      </c>
    </row>
    <row r="114">
      <c r="D114">
        <f>IF(C114="","",IFERROR(VLOOKUP(C114,Organisations!$A:$B,2,FALSE),""))</f>
        <v/>
      </c>
      <c r="H114" s="5" t="n"/>
      <c r="I114" s="17" t="n"/>
      <c r="J114" s="17" t="n"/>
      <c r="L114" s="17" t="n"/>
      <c r="M114">
        <f>IF(AND(J114&lt;&gt;"",L114&lt;&gt;""),L114-J114,"")</f>
        <v/>
      </c>
      <c r="N114" s="17">
        <f>IF(AND(J114&lt;&gt;"",L114=""),J114+5,"")</f>
        <v/>
      </c>
      <c r="O114" s="17" t="n"/>
      <c r="S114">
        <f>IF(A114="","",IF(R114&lt;&gt;"Open",R114,IF(P114="Yes","Booked",IF(L114&lt;&gt;"","Replied",IF(J114="","Scheduled",IF(TODAY()&gt;J114+5,"Follow up","Sent"))))))</f>
        <v/>
      </c>
    </row>
    <row r="115">
      <c r="D115">
        <f>IF(C115="","",IFERROR(VLOOKUP(C115,Organisations!$A:$B,2,FALSE),""))</f>
        <v/>
      </c>
      <c r="H115" s="5" t="n"/>
      <c r="I115" s="17" t="n"/>
      <c r="J115" s="17" t="n"/>
      <c r="L115" s="17" t="n"/>
      <c r="M115">
        <f>IF(AND(J115&lt;&gt;"",L115&lt;&gt;""),L115-J115,"")</f>
        <v/>
      </c>
      <c r="N115" s="17">
        <f>IF(AND(J115&lt;&gt;"",L115=""),J115+5,"")</f>
        <v/>
      </c>
      <c r="O115" s="17" t="n"/>
      <c r="S115">
        <f>IF(A115="","",IF(R115&lt;&gt;"Open",R115,IF(P115="Yes","Booked",IF(L115&lt;&gt;"","Replied",IF(J115="","Scheduled",IF(TODAY()&gt;J115+5,"Follow up","Sent"))))))</f>
        <v/>
      </c>
    </row>
    <row r="116">
      <c r="D116">
        <f>IF(C116="","",IFERROR(VLOOKUP(C116,Organisations!$A:$B,2,FALSE),""))</f>
        <v/>
      </c>
      <c r="H116" s="5" t="n"/>
      <c r="I116" s="17" t="n"/>
      <c r="J116" s="17" t="n"/>
      <c r="L116" s="17" t="n"/>
      <c r="M116">
        <f>IF(AND(J116&lt;&gt;"",L116&lt;&gt;""),L116-J116,"")</f>
        <v/>
      </c>
      <c r="N116" s="17">
        <f>IF(AND(J116&lt;&gt;"",L116=""),J116+5,"")</f>
        <v/>
      </c>
      <c r="O116" s="17" t="n"/>
      <c r="S116">
        <f>IF(A116="","",IF(R116&lt;&gt;"Open",R116,IF(P116="Yes","Booked",IF(L116&lt;&gt;"","Replied",IF(J116="","Scheduled",IF(TODAY()&gt;J116+5,"Follow up","Sent"))))))</f>
        <v/>
      </c>
    </row>
    <row r="117">
      <c r="D117">
        <f>IF(C117="","",IFERROR(VLOOKUP(C117,Organisations!$A:$B,2,FALSE),""))</f>
        <v/>
      </c>
      <c r="H117" s="5" t="n"/>
      <c r="I117" s="17" t="n"/>
      <c r="J117" s="17" t="n"/>
      <c r="L117" s="17" t="n"/>
      <c r="M117">
        <f>IF(AND(J117&lt;&gt;"",L117&lt;&gt;""),L117-J117,"")</f>
        <v/>
      </c>
      <c r="N117" s="17">
        <f>IF(AND(J117&lt;&gt;"",L117=""),J117+5,"")</f>
        <v/>
      </c>
      <c r="O117" s="17" t="n"/>
      <c r="S117">
        <f>IF(A117="","",IF(R117&lt;&gt;"Open",R117,IF(P117="Yes","Booked",IF(L117&lt;&gt;"","Replied",IF(J117="","Scheduled",IF(TODAY()&gt;J117+5,"Follow up","Sent"))))))</f>
        <v/>
      </c>
    </row>
    <row r="118">
      <c r="D118">
        <f>IF(C118="","",IFERROR(VLOOKUP(C118,Organisations!$A:$B,2,FALSE),""))</f>
        <v/>
      </c>
      <c r="H118" s="5" t="n"/>
      <c r="I118" s="17" t="n"/>
      <c r="J118" s="17" t="n"/>
      <c r="L118" s="17" t="n"/>
      <c r="M118">
        <f>IF(AND(J118&lt;&gt;"",L118&lt;&gt;""),L118-J118,"")</f>
        <v/>
      </c>
      <c r="N118" s="17">
        <f>IF(AND(J118&lt;&gt;"",L118=""),J118+5,"")</f>
        <v/>
      </c>
      <c r="O118" s="17" t="n"/>
      <c r="S118">
        <f>IF(A118="","",IF(R118&lt;&gt;"Open",R118,IF(P118="Yes","Booked",IF(L118&lt;&gt;"","Replied",IF(J118="","Scheduled",IF(TODAY()&gt;J118+5,"Follow up","Sent"))))))</f>
        <v/>
      </c>
    </row>
    <row r="119">
      <c r="D119">
        <f>IF(C119="","",IFERROR(VLOOKUP(C119,Organisations!$A:$B,2,FALSE),""))</f>
        <v/>
      </c>
      <c r="H119" s="5" t="n"/>
      <c r="I119" s="17" t="n"/>
      <c r="J119" s="17" t="n"/>
      <c r="L119" s="17" t="n"/>
      <c r="M119">
        <f>IF(AND(J119&lt;&gt;"",L119&lt;&gt;""),L119-J119,"")</f>
        <v/>
      </c>
      <c r="N119" s="17">
        <f>IF(AND(J119&lt;&gt;"",L119=""),J119+5,"")</f>
        <v/>
      </c>
      <c r="O119" s="17" t="n"/>
      <c r="S119">
        <f>IF(A119="","",IF(R119&lt;&gt;"Open",R119,IF(P119="Yes","Booked",IF(L119&lt;&gt;"","Replied",IF(J119="","Scheduled",IF(TODAY()&gt;J119+5,"Follow up","Sent"))))))</f>
        <v/>
      </c>
    </row>
    <row r="120">
      <c r="D120">
        <f>IF(C120="","",IFERROR(VLOOKUP(C120,Organisations!$A:$B,2,FALSE),""))</f>
        <v/>
      </c>
      <c r="H120" s="5" t="n"/>
      <c r="I120" s="17" t="n"/>
      <c r="J120" s="17" t="n"/>
      <c r="L120" s="17" t="n"/>
      <c r="M120">
        <f>IF(AND(J120&lt;&gt;"",L120&lt;&gt;""),L120-J120,"")</f>
        <v/>
      </c>
      <c r="N120" s="17">
        <f>IF(AND(J120&lt;&gt;"",L120=""),J120+5,"")</f>
        <v/>
      </c>
      <c r="O120" s="17" t="n"/>
      <c r="S120">
        <f>IF(A120="","",IF(R120&lt;&gt;"Open",R120,IF(P120="Yes","Booked",IF(L120&lt;&gt;"","Replied",IF(J120="","Scheduled",IF(TODAY()&gt;J120+5,"Follow up","Sent"))))))</f>
        <v/>
      </c>
    </row>
    <row r="121">
      <c r="D121">
        <f>IF(C121="","",IFERROR(VLOOKUP(C121,Organisations!$A:$B,2,FALSE),""))</f>
        <v/>
      </c>
      <c r="H121" s="5" t="n"/>
      <c r="I121" s="17" t="n"/>
      <c r="J121" s="17" t="n"/>
      <c r="L121" s="17" t="n"/>
      <c r="M121">
        <f>IF(AND(J121&lt;&gt;"",L121&lt;&gt;""),L121-J121,"")</f>
        <v/>
      </c>
      <c r="N121" s="17">
        <f>IF(AND(J121&lt;&gt;"",L121=""),J121+5,"")</f>
        <v/>
      </c>
      <c r="O121" s="17" t="n"/>
      <c r="S121">
        <f>IF(A121="","",IF(R121&lt;&gt;"Open",R121,IF(P121="Yes","Booked",IF(L121&lt;&gt;"","Replied",IF(J121="","Scheduled",IF(TODAY()&gt;J121+5,"Follow up","Sent"))))))</f>
        <v/>
      </c>
    </row>
    <row r="122">
      <c r="D122">
        <f>IF(C122="","",IFERROR(VLOOKUP(C122,Organisations!$A:$B,2,FALSE),""))</f>
        <v/>
      </c>
      <c r="H122" s="5" t="n"/>
      <c r="I122" s="17" t="n"/>
      <c r="J122" s="17" t="n"/>
      <c r="L122" s="17" t="n"/>
      <c r="M122">
        <f>IF(AND(J122&lt;&gt;"",L122&lt;&gt;""),L122-J122,"")</f>
        <v/>
      </c>
      <c r="N122" s="17">
        <f>IF(AND(J122&lt;&gt;"",L122=""),J122+5,"")</f>
        <v/>
      </c>
      <c r="O122" s="17" t="n"/>
      <c r="S122">
        <f>IF(A122="","",IF(R122&lt;&gt;"Open",R122,IF(P122="Yes","Booked",IF(L122&lt;&gt;"","Replied",IF(J122="","Scheduled",IF(TODAY()&gt;J122+5,"Follow up","Sent"))))))</f>
        <v/>
      </c>
    </row>
    <row r="123">
      <c r="D123">
        <f>IF(C123="","",IFERROR(VLOOKUP(C123,Organisations!$A:$B,2,FALSE),""))</f>
        <v/>
      </c>
      <c r="H123" s="5" t="n"/>
      <c r="I123" s="17" t="n"/>
      <c r="J123" s="17" t="n"/>
      <c r="L123" s="17" t="n"/>
      <c r="M123">
        <f>IF(AND(J123&lt;&gt;"",L123&lt;&gt;""),L123-J123,"")</f>
        <v/>
      </c>
      <c r="N123" s="17">
        <f>IF(AND(J123&lt;&gt;"",L123=""),J123+5,"")</f>
        <v/>
      </c>
      <c r="O123" s="17" t="n"/>
      <c r="S123">
        <f>IF(A123="","",IF(R123&lt;&gt;"Open",R123,IF(P123="Yes","Booked",IF(L123&lt;&gt;"","Replied",IF(J123="","Scheduled",IF(TODAY()&gt;J123+5,"Follow up","Sent"))))))</f>
        <v/>
      </c>
    </row>
    <row r="124">
      <c r="D124">
        <f>IF(C124="","",IFERROR(VLOOKUP(C124,Organisations!$A:$B,2,FALSE),""))</f>
        <v/>
      </c>
      <c r="H124" s="5" t="n"/>
      <c r="I124" s="17" t="n"/>
      <c r="J124" s="17" t="n"/>
      <c r="L124" s="17" t="n"/>
      <c r="M124">
        <f>IF(AND(J124&lt;&gt;"",L124&lt;&gt;""),L124-J124,"")</f>
        <v/>
      </c>
      <c r="N124" s="17">
        <f>IF(AND(J124&lt;&gt;"",L124=""),J124+5,"")</f>
        <v/>
      </c>
      <c r="O124" s="17" t="n"/>
      <c r="S124">
        <f>IF(A124="","",IF(R124&lt;&gt;"Open",R124,IF(P124="Yes","Booked",IF(L124&lt;&gt;"","Replied",IF(J124="","Scheduled",IF(TODAY()&gt;J124+5,"Follow up","Sent"))))))</f>
        <v/>
      </c>
    </row>
    <row r="125">
      <c r="D125">
        <f>IF(C125="","",IFERROR(VLOOKUP(C125,Organisations!$A:$B,2,FALSE),""))</f>
        <v/>
      </c>
      <c r="H125" s="5" t="n"/>
      <c r="I125" s="17" t="n"/>
      <c r="J125" s="17" t="n"/>
      <c r="L125" s="17" t="n"/>
      <c r="M125">
        <f>IF(AND(J125&lt;&gt;"",L125&lt;&gt;""),L125-J125,"")</f>
        <v/>
      </c>
      <c r="N125" s="17">
        <f>IF(AND(J125&lt;&gt;"",L125=""),J125+5,"")</f>
        <v/>
      </c>
      <c r="O125" s="17" t="n"/>
      <c r="S125">
        <f>IF(A125="","",IF(R125&lt;&gt;"Open",R125,IF(P125="Yes","Booked",IF(L125&lt;&gt;"","Replied",IF(J125="","Scheduled",IF(TODAY()&gt;J125+5,"Follow up","Sent"))))))</f>
        <v/>
      </c>
    </row>
    <row r="126">
      <c r="D126">
        <f>IF(C126="","",IFERROR(VLOOKUP(C126,Organisations!$A:$B,2,FALSE),""))</f>
        <v/>
      </c>
      <c r="H126" s="5" t="n"/>
      <c r="I126" s="17" t="n"/>
      <c r="J126" s="17" t="n"/>
      <c r="L126" s="17" t="n"/>
      <c r="M126">
        <f>IF(AND(J126&lt;&gt;"",L126&lt;&gt;""),L126-J126,"")</f>
        <v/>
      </c>
      <c r="N126" s="17">
        <f>IF(AND(J126&lt;&gt;"",L126=""),J126+5,"")</f>
        <v/>
      </c>
      <c r="O126" s="17" t="n"/>
      <c r="S126">
        <f>IF(A126="","",IF(R126&lt;&gt;"Open",R126,IF(P126="Yes","Booked",IF(L126&lt;&gt;"","Replied",IF(J126="","Scheduled",IF(TODAY()&gt;J126+5,"Follow up","Sent"))))))</f>
        <v/>
      </c>
    </row>
    <row r="127">
      <c r="D127">
        <f>IF(C127="","",IFERROR(VLOOKUP(C127,Organisations!$A:$B,2,FALSE),""))</f>
        <v/>
      </c>
      <c r="H127" s="5" t="n"/>
      <c r="I127" s="17" t="n"/>
      <c r="J127" s="17" t="n"/>
      <c r="L127" s="17" t="n"/>
      <c r="M127">
        <f>IF(AND(J127&lt;&gt;"",L127&lt;&gt;""),L127-J127,"")</f>
        <v/>
      </c>
      <c r="N127" s="17">
        <f>IF(AND(J127&lt;&gt;"",L127=""),J127+5,"")</f>
        <v/>
      </c>
      <c r="O127" s="17" t="n"/>
      <c r="S127">
        <f>IF(A127="","",IF(R127&lt;&gt;"Open",R127,IF(P127="Yes","Booked",IF(L127&lt;&gt;"","Replied",IF(J127="","Scheduled",IF(TODAY()&gt;J127+5,"Follow up","Sent"))))))</f>
        <v/>
      </c>
    </row>
    <row r="128">
      <c r="D128">
        <f>IF(C128="","",IFERROR(VLOOKUP(C128,Organisations!$A:$B,2,FALSE),""))</f>
        <v/>
      </c>
      <c r="H128" s="5" t="n"/>
      <c r="I128" s="17" t="n"/>
      <c r="J128" s="17" t="n"/>
      <c r="L128" s="17" t="n"/>
      <c r="M128">
        <f>IF(AND(J128&lt;&gt;"",L128&lt;&gt;""),L128-J128,"")</f>
        <v/>
      </c>
      <c r="N128" s="17">
        <f>IF(AND(J128&lt;&gt;"",L128=""),J128+5,"")</f>
        <v/>
      </c>
      <c r="O128" s="17" t="n"/>
      <c r="S128">
        <f>IF(A128="","",IF(R128&lt;&gt;"Open",R128,IF(P128="Yes","Booked",IF(L128&lt;&gt;"","Replied",IF(J128="","Scheduled",IF(TODAY()&gt;J128+5,"Follow up","Sent"))))))</f>
        <v/>
      </c>
    </row>
    <row r="129">
      <c r="D129">
        <f>IF(C129="","",IFERROR(VLOOKUP(C129,Organisations!$A:$B,2,FALSE),""))</f>
        <v/>
      </c>
      <c r="H129" s="5" t="n"/>
      <c r="I129" s="17" t="n"/>
      <c r="J129" s="17" t="n"/>
      <c r="L129" s="17" t="n"/>
      <c r="M129">
        <f>IF(AND(J129&lt;&gt;"",L129&lt;&gt;""),L129-J129,"")</f>
        <v/>
      </c>
      <c r="N129" s="17">
        <f>IF(AND(J129&lt;&gt;"",L129=""),J129+5,"")</f>
        <v/>
      </c>
      <c r="O129" s="17" t="n"/>
      <c r="S129">
        <f>IF(A129="","",IF(R129&lt;&gt;"Open",R129,IF(P129="Yes","Booked",IF(L129&lt;&gt;"","Replied",IF(J129="","Scheduled",IF(TODAY()&gt;J129+5,"Follow up","Sent"))))))</f>
        <v/>
      </c>
    </row>
    <row r="130">
      <c r="D130">
        <f>IF(C130="","",IFERROR(VLOOKUP(C130,Organisations!$A:$B,2,FALSE),""))</f>
        <v/>
      </c>
      <c r="H130" s="5" t="n"/>
      <c r="I130" s="17" t="n"/>
      <c r="J130" s="17" t="n"/>
      <c r="L130" s="17" t="n"/>
      <c r="M130">
        <f>IF(AND(J130&lt;&gt;"",L130&lt;&gt;""),L130-J130,"")</f>
        <v/>
      </c>
      <c r="N130" s="17">
        <f>IF(AND(J130&lt;&gt;"",L130=""),J130+5,"")</f>
        <v/>
      </c>
      <c r="O130" s="17" t="n"/>
      <c r="S130">
        <f>IF(A130="","",IF(R130&lt;&gt;"Open",R130,IF(P130="Yes","Booked",IF(L130&lt;&gt;"","Replied",IF(J130="","Scheduled",IF(TODAY()&gt;J130+5,"Follow up","Sent"))))))</f>
        <v/>
      </c>
    </row>
    <row r="131">
      <c r="D131">
        <f>IF(C131="","",IFERROR(VLOOKUP(C131,Organisations!$A:$B,2,FALSE),""))</f>
        <v/>
      </c>
      <c r="H131" s="5" t="n"/>
      <c r="I131" s="17" t="n"/>
      <c r="J131" s="17" t="n"/>
      <c r="L131" s="17" t="n"/>
      <c r="M131">
        <f>IF(AND(J131&lt;&gt;"",L131&lt;&gt;""),L131-J131,"")</f>
        <v/>
      </c>
      <c r="N131" s="17">
        <f>IF(AND(J131&lt;&gt;"",L131=""),J131+5,"")</f>
        <v/>
      </c>
      <c r="O131" s="17" t="n"/>
      <c r="S131">
        <f>IF(A131="","",IF(R131&lt;&gt;"Open",R131,IF(P131="Yes","Booked",IF(L131&lt;&gt;"","Replied",IF(J131="","Scheduled",IF(TODAY()&gt;J131+5,"Follow up","Sent"))))))</f>
        <v/>
      </c>
    </row>
    <row r="132">
      <c r="D132">
        <f>IF(C132="","",IFERROR(VLOOKUP(C132,Organisations!$A:$B,2,FALSE),""))</f>
        <v/>
      </c>
      <c r="H132" s="5" t="n"/>
      <c r="I132" s="17" t="n"/>
      <c r="J132" s="17" t="n"/>
      <c r="L132" s="17" t="n"/>
      <c r="M132">
        <f>IF(AND(J132&lt;&gt;"",L132&lt;&gt;""),L132-J132,"")</f>
        <v/>
      </c>
      <c r="N132" s="17">
        <f>IF(AND(J132&lt;&gt;"",L132=""),J132+5,"")</f>
        <v/>
      </c>
      <c r="O132" s="17" t="n"/>
      <c r="S132">
        <f>IF(A132="","",IF(R132&lt;&gt;"Open",R132,IF(P132="Yes","Booked",IF(L132&lt;&gt;"","Replied",IF(J132="","Scheduled",IF(TODAY()&gt;J132+5,"Follow up","Sent"))))))</f>
        <v/>
      </c>
    </row>
    <row r="133">
      <c r="D133">
        <f>IF(C133="","",IFERROR(VLOOKUP(C133,Organisations!$A:$B,2,FALSE),""))</f>
        <v/>
      </c>
      <c r="H133" s="5" t="n"/>
      <c r="I133" s="17" t="n"/>
      <c r="J133" s="17" t="n"/>
      <c r="L133" s="17" t="n"/>
      <c r="M133">
        <f>IF(AND(J133&lt;&gt;"",L133&lt;&gt;""),L133-J133,"")</f>
        <v/>
      </c>
      <c r="N133" s="17">
        <f>IF(AND(J133&lt;&gt;"",L133=""),J133+5,"")</f>
        <v/>
      </c>
      <c r="O133" s="17" t="n"/>
      <c r="S133">
        <f>IF(A133="","",IF(R133&lt;&gt;"Open",R133,IF(P133="Yes","Booked",IF(L133&lt;&gt;"","Replied",IF(J133="","Scheduled",IF(TODAY()&gt;J133+5,"Follow up","Sent"))))))</f>
        <v/>
      </c>
    </row>
    <row r="134">
      <c r="D134">
        <f>IF(C134="","",IFERROR(VLOOKUP(C134,Organisations!$A:$B,2,FALSE),""))</f>
        <v/>
      </c>
      <c r="H134" s="5" t="n"/>
      <c r="I134" s="17" t="n"/>
      <c r="J134" s="17" t="n"/>
      <c r="L134" s="17" t="n"/>
      <c r="M134">
        <f>IF(AND(J134&lt;&gt;"",L134&lt;&gt;""),L134-J134,"")</f>
        <v/>
      </c>
      <c r="N134" s="17">
        <f>IF(AND(J134&lt;&gt;"",L134=""),J134+5,"")</f>
        <v/>
      </c>
      <c r="O134" s="17" t="n"/>
      <c r="S134">
        <f>IF(A134="","",IF(R134&lt;&gt;"Open",R134,IF(P134="Yes","Booked",IF(L134&lt;&gt;"","Replied",IF(J134="","Scheduled",IF(TODAY()&gt;J134+5,"Follow up","Sent"))))))</f>
        <v/>
      </c>
    </row>
    <row r="135">
      <c r="D135">
        <f>IF(C135="","",IFERROR(VLOOKUP(C135,Organisations!$A:$B,2,FALSE),""))</f>
        <v/>
      </c>
      <c r="H135" s="5" t="n"/>
      <c r="I135" s="17" t="n"/>
      <c r="J135" s="17" t="n"/>
      <c r="L135" s="17" t="n"/>
      <c r="M135">
        <f>IF(AND(J135&lt;&gt;"",L135&lt;&gt;""),L135-J135,"")</f>
        <v/>
      </c>
      <c r="N135" s="17">
        <f>IF(AND(J135&lt;&gt;"",L135=""),J135+5,"")</f>
        <v/>
      </c>
      <c r="O135" s="17" t="n"/>
      <c r="S135">
        <f>IF(A135="","",IF(R135&lt;&gt;"Open",R135,IF(P135="Yes","Booked",IF(L135&lt;&gt;"","Replied",IF(J135="","Scheduled",IF(TODAY()&gt;J135+5,"Follow up","Sent"))))))</f>
        <v/>
      </c>
    </row>
    <row r="136">
      <c r="D136">
        <f>IF(C136="","",IFERROR(VLOOKUP(C136,Organisations!$A:$B,2,FALSE),""))</f>
        <v/>
      </c>
      <c r="H136" s="5" t="n"/>
      <c r="I136" s="17" t="n"/>
      <c r="J136" s="17" t="n"/>
      <c r="L136" s="17" t="n"/>
      <c r="M136">
        <f>IF(AND(J136&lt;&gt;"",L136&lt;&gt;""),L136-J136,"")</f>
        <v/>
      </c>
      <c r="N136" s="17">
        <f>IF(AND(J136&lt;&gt;"",L136=""),J136+5,"")</f>
        <v/>
      </c>
      <c r="O136" s="17" t="n"/>
      <c r="S136">
        <f>IF(A136="","",IF(R136&lt;&gt;"Open",R136,IF(P136="Yes","Booked",IF(L136&lt;&gt;"","Replied",IF(J136="","Scheduled",IF(TODAY()&gt;J136+5,"Follow up","Sent"))))))</f>
        <v/>
      </c>
    </row>
    <row r="137">
      <c r="D137">
        <f>IF(C137="","",IFERROR(VLOOKUP(C137,Organisations!$A:$B,2,FALSE),""))</f>
        <v/>
      </c>
      <c r="H137" s="5" t="n"/>
      <c r="I137" s="17" t="n"/>
      <c r="J137" s="17" t="n"/>
      <c r="L137" s="17" t="n"/>
      <c r="M137">
        <f>IF(AND(J137&lt;&gt;"",L137&lt;&gt;""),L137-J137,"")</f>
        <v/>
      </c>
      <c r="N137" s="17">
        <f>IF(AND(J137&lt;&gt;"",L137=""),J137+5,"")</f>
        <v/>
      </c>
      <c r="O137" s="17" t="n"/>
      <c r="S137">
        <f>IF(A137="","",IF(R137&lt;&gt;"Open",R137,IF(P137="Yes","Booked",IF(L137&lt;&gt;"","Replied",IF(J137="","Scheduled",IF(TODAY()&gt;J137+5,"Follow up","Sent"))))))</f>
        <v/>
      </c>
    </row>
    <row r="138">
      <c r="D138">
        <f>IF(C138="","",IFERROR(VLOOKUP(C138,Organisations!$A:$B,2,FALSE),""))</f>
        <v/>
      </c>
      <c r="H138" s="5" t="n"/>
      <c r="I138" s="17" t="n"/>
      <c r="J138" s="17" t="n"/>
      <c r="L138" s="17" t="n"/>
      <c r="M138">
        <f>IF(AND(J138&lt;&gt;"",L138&lt;&gt;""),L138-J138,"")</f>
        <v/>
      </c>
      <c r="N138" s="17">
        <f>IF(AND(J138&lt;&gt;"",L138=""),J138+5,"")</f>
        <v/>
      </c>
      <c r="O138" s="17" t="n"/>
      <c r="S138">
        <f>IF(A138="","",IF(R138&lt;&gt;"Open",R138,IF(P138="Yes","Booked",IF(L138&lt;&gt;"","Replied",IF(J138="","Scheduled",IF(TODAY()&gt;J138+5,"Follow up","Sent"))))))</f>
        <v/>
      </c>
    </row>
    <row r="139">
      <c r="D139">
        <f>IF(C139="","",IFERROR(VLOOKUP(C139,Organisations!$A:$B,2,FALSE),""))</f>
        <v/>
      </c>
      <c r="H139" s="5" t="n"/>
      <c r="I139" s="17" t="n"/>
      <c r="J139" s="17" t="n"/>
      <c r="L139" s="17" t="n"/>
      <c r="M139">
        <f>IF(AND(J139&lt;&gt;"",L139&lt;&gt;""),L139-J139,"")</f>
        <v/>
      </c>
      <c r="N139" s="17">
        <f>IF(AND(J139&lt;&gt;"",L139=""),J139+5,"")</f>
        <v/>
      </c>
      <c r="O139" s="17" t="n"/>
      <c r="S139">
        <f>IF(A139="","",IF(R139&lt;&gt;"Open",R139,IF(P139="Yes","Booked",IF(L139&lt;&gt;"","Replied",IF(J139="","Scheduled",IF(TODAY()&gt;J139+5,"Follow up","Sent"))))))</f>
        <v/>
      </c>
    </row>
    <row r="140">
      <c r="D140">
        <f>IF(C140="","",IFERROR(VLOOKUP(C140,Organisations!$A:$B,2,FALSE),""))</f>
        <v/>
      </c>
      <c r="H140" s="5" t="n"/>
      <c r="I140" s="17" t="n"/>
      <c r="J140" s="17" t="n"/>
      <c r="L140" s="17" t="n"/>
      <c r="M140">
        <f>IF(AND(J140&lt;&gt;"",L140&lt;&gt;""),L140-J140,"")</f>
        <v/>
      </c>
      <c r="N140" s="17">
        <f>IF(AND(J140&lt;&gt;"",L140=""),J140+5,"")</f>
        <v/>
      </c>
      <c r="O140" s="17" t="n"/>
      <c r="S140">
        <f>IF(A140="","",IF(R140&lt;&gt;"Open",R140,IF(P140="Yes","Booked",IF(L140&lt;&gt;"","Replied",IF(J140="","Scheduled",IF(TODAY()&gt;J140+5,"Follow up","Sent"))))))</f>
        <v/>
      </c>
    </row>
    <row r="141">
      <c r="D141">
        <f>IF(C141="","",IFERROR(VLOOKUP(C141,Organisations!$A:$B,2,FALSE),""))</f>
        <v/>
      </c>
      <c r="H141" s="5" t="n"/>
      <c r="I141" s="17" t="n"/>
      <c r="J141" s="17" t="n"/>
      <c r="L141" s="17" t="n"/>
      <c r="M141">
        <f>IF(AND(J141&lt;&gt;"",L141&lt;&gt;""),L141-J141,"")</f>
        <v/>
      </c>
      <c r="N141" s="17">
        <f>IF(AND(J141&lt;&gt;"",L141=""),J141+5,"")</f>
        <v/>
      </c>
      <c r="O141" s="17" t="n"/>
      <c r="S141">
        <f>IF(A141="","",IF(R141&lt;&gt;"Open",R141,IF(P141="Yes","Booked",IF(L141&lt;&gt;"","Replied",IF(J141="","Scheduled",IF(TODAY()&gt;J141+5,"Follow up","Sent"))))))</f>
        <v/>
      </c>
    </row>
    <row r="142">
      <c r="D142">
        <f>IF(C142="","",IFERROR(VLOOKUP(C142,Organisations!$A:$B,2,FALSE),""))</f>
        <v/>
      </c>
      <c r="H142" s="5" t="n"/>
      <c r="I142" s="17" t="n"/>
      <c r="J142" s="17" t="n"/>
      <c r="L142" s="17" t="n"/>
      <c r="M142">
        <f>IF(AND(J142&lt;&gt;"",L142&lt;&gt;""),L142-J142,"")</f>
        <v/>
      </c>
      <c r="N142" s="17">
        <f>IF(AND(J142&lt;&gt;"",L142=""),J142+5,"")</f>
        <v/>
      </c>
      <c r="O142" s="17" t="n"/>
      <c r="S142">
        <f>IF(A142="","",IF(R142&lt;&gt;"Open",R142,IF(P142="Yes","Booked",IF(L142&lt;&gt;"","Replied",IF(J142="","Scheduled",IF(TODAY()&gt;J142+5,"Follow up","Sent"))))))</f>
        <v/>
      </c>
    </row>
    <row r="143">
      <c r="D143">
        <f>IF(C143="","",IFERROR(VLOOKUP(C143,Organisations!$A:$B,2,FALSE),""))</f>
        <v/>
      </c>
      <c r="H143" s="5" t="n"/>
      <c r="I143" s="17" t="n"/>
      <c r="J143" s="17" t="n"/>
      <c r="L143" s="17" t="n"/>
      <c r="M143">
        <f>IF(AND(J143&lt;&gt;"",L143&lt;&gt;""),L143-J143,"")</f>
        <v/>
      </c>
      <c r="N143" s="17">
        <f>IF(AND(J143&lt;&gt;"",L143=""),J143+5,"")</f>
        <v/>
      </c>
      <c r="O143" s="17" t="n"/>
      <c r="S143">
        <f>IF(A143="","",IF(R143&lt;&gt;"Open",R143,IF(P143="Yes","Booked",IF(L143&lt;&gt;"","Replied",IF(J143="","Scheduled",IF(TODAY()&gt;J143+5,"Follow up","Sent"))))))</f>
        <v/>
      </c>
    </row>
    <row r="144">
      <c r="D144">
        <f>IF(C144="","",IFERROR(VLOOKUP(C144,Organisations!$A:$B,2,FALSE),""))</f>
        <v/>
      </c>
      <c r="H144" s="5" t="n"/>
      <c r="I144" s="17" t="n"/>
      <c r="J144" s="17" t="n"/>
      <c r="L144" s="17" t="n"/>
      <c r="M144">
        <f>IF(AND(J144&lt;&gt;"",L144&lt;&gt;""),L144-J144,"")</f>
        <v/>
      </c>
      <c r="N144" s="17">
        <f>IF(AND(J144&lt;&gt;"",L144=""),J144+5,"")</f>
        <v/>
      </c>
      <c r="O144" s="17" t="n"/>
      <c r="S144">
        <f>IF(A144="","",IF(R144&lt;&gt;"Open",R144,IF(P144="Yes","Booked",IF(L144&lt;&gt;"","Replied",IF(J144="","Scheduled",IF(TODAY()&gt;J144+5,"Follow up","Sent"))))))</f>
        <v/>
      </c>
    </row>
    <row r="145">
      <c r="D145">
        <f>IF(C145="","",IFERROR(VLOOKUP(C145,Organisations!$A:$B,2,FALSE),""))</f>
        <v/>
      </c>
      <c r="H145" s="5" t="n"/>
      <c r="I145" s="17" t="n"/>
      <c r="J145" s="17" t="n"/>
      <c r="L145" s="17" t="n"/>
      <c r="M145">
        <f>IF(AND(J145&lt;&gt;"",L145&lt;&gt;""),L145-J145,"")</f>
        <v/>
      </c>
      <c r="N145" s="17">
        <f>IF(AND(J145&lt;&gt;"",L145=""),J145+5,"")</f>
        <v/>
      </c>
      <c r="O145" s="17" t="n"/>
      <c r="S145">
        <f>IF(A145="","",IF(R145&lt;&gt;"Open",R145,IF(P145="Yes","Booked",IF(L145&lt;&gt;"","Replied",IF(J145="","Scheduled",IF(TODAY()&gt;J145+5,"Follow up","Sent"))))))</f>
        <v/>
      </c>
    </row>
    <row r="146">
      <c r="D146">
        <f>IF(C146="","",IFERROR(VLOOKUP(C146,Organisations!$A:$B,2,FALSE),""))</f>
        <v/>
      </c>
      <c r="H146" s="5" t="n"/>
      <c r="I146" s="17" t="n"/>
      <c r="J146" s="17" t="n"/>
      <c r="L146" s="17" t="n"/>
      <c r="M146">
        <f>IF(AND(J146&lt;&gt;"",L146&lt;&gt;""),L146-J146,"")</f>
        <v/>
      </c>
      <c r="N146" s="17">
        <f>IF(AND(J146&lt;&gt;"",L146=""),J146+5,"")</f>
        <v/>
      </c>
      <c r="O146" s="17" t="n"/>
      <c r="S146">
        <f>IF(A146="","",IF(R146&lt;&gt;"Open",R146,IF(P146="Yes","Booked",IF(L146&lt;&gt;"","Replied",IF(J146="","Scheduled",IF(TODAY()&gt;J146+5,"Follow up","Sent"))))))</f>
        <v/>
      </c>
    </row>
    <row r="147">
      <c r="D147">
        <f>IF(C147="","",IFERROR(VLOOKUP(C147,Organisations!$A:$B,2,FALSE),""))</f>
        <v/>
      </c>
      <c r="H147" s="5" t="n"/>
      <c r="I147" s="17" t="n"/>
      <c r="J147" s="17" t="n"/>
      <c r="L147" s="17" t="n"/>
      <c r="M147">
        <f>IF(AND(J147&lt;&gt;"",L147&lt;&gt;""),L147-J147,"")</f>
        <v/>
      </c>
      <c r="N147" s="17">
        <f>IF(AND(J147&lt;&gt;"",L147=""),J147+5,"")</f>
        <v/>
      </c>
      <c r="O147" s="17" t="n"/>
      <c r="S147">
        <f>IF(A147="","",IF(R147&lt;&gt;"Open",R147,IF(P147="Yes","Booked",IF(L147&lt;&gt;"","Replied",IF(J147="","Scheduled",IF(TODAY()&gt;J147+5,"Follow up","Sent"))))))</f>
        <v/>
      </c>
    </row>
    <row r="148">
      <c r="D148">
        <f>IF(C148="","",IFERROR(VLOOKUP(C148,Organisations!$A:$B,2,FALSE),""))</f>
        <v/>
      </c>
      <c r="H148" s="5" t="n"/>
      <c r="I148" s="17" t="n"/>
      <c r="J148" s="17" t="n"/>
      <c r="L148" s="17" t="n"/>
      <c r="M148">
        <f>IF(AND(J148&lt;&gt;"",L148&lt;&gt;""),L148-J148,"")</f>
        <v/>
      </c>
      <c r="N148" s="17">
        <f>IF(AND(J148&lt;&gt;"",L148=""),J148+5,"")</f>
        <v/>
      </c>
      <c r="O148" s="17" t="n"/>
      <c r="S148">
        <f>IF(A148="","",IF(R148&lt;&gt;"Open",R148,IF(P148="Yes","Booked",IF(L148&lt;&gt;"","Replied",IF(J148="","Scheduled",IF(TODAY()&gt;J148+5,"Follow up","Sent"))))))</f>
        <v/>
      </c>
    </row>
    <row r="149">
      <c r="D149">
        <f>IF(C149="","",IFERROR(VLOOKUP(C149,Organisations!$A:$B,2,FALSE),""))</f>
        <v/>
      </c>
      <c r="H149" s="5" t="n"/>
      <c r="I149" s="17" t="n"/>
      <c r="J149" s="17" t="n"/>
      <c r="L149" s="17" t="n"/>
      <c r="M149">
        <f>IF(AND(J149&lt;&gt;"",L149&lt;&gt;""),L149-J149,"")</f>
        <v/>
      </c>
      <c r="N149" s="17">
        <f>IF(AND(J149&lt;&gt;"",L149=""),J149+5,"")</f>
        <v/>
      </c>
      <c r="O149" s="17" t="n"/>
      <c r="S149">
        <f>IF(A149="","",IF(R149&lt;&gt;"Open",R149,IF(P149="Yes","Booked",IF(L149&lt;&gt;"","Replied",IF(J149="","Scheduled",IF(TODAY()&gt;J149+5,"Follow up","Sent"))))))</f>
        <v/>
      </c>
    </row>
    <row r="150">
      <c r="D150">
        <f>IF(C150="","",IFERROR(VLOOKUP(C150,Organisations!$A:$B,2,FALSE),""))</f>
        <v/>
      </c>
      <c r="H150" s="5" t="n"/>
      <c r="I150" s="17" t="n"/>
      <c r="J150" s="17" t="n"/>
      <c r="L150" s="17" t="n"/>
      <c r="M150">
        <f>IF(AND(J150&lt;&gt;"",L150&lt;&gt;""),L150-J150,"")</f>
        <v/>
      </c>
      <c r="N150" s="17">
        <f>IF(AND(J150&lt;&gt;"",L150=""),J150+5,"")</f>
        <v/>
      </c>
      <c r="O150" s="17" t="n"/>
      <c r="S150">
        <f>IF(A150="","",IF(R150&lt;&gt;"Open",R150,IF(P150="Yes","Booked",IF(L150&lt;&gt;"","Replied",IF(J150="","Scheduled",IF(TODAY()&gt;J150+5,"Follow up","Sent"))))))</f>
        <v/>
      </c>
    </row>
    <row r="151">
      <c r="D151">
        <f>IF(C151="","",IFERROR(VLOOKUP(C151,Organisations!$A:$B,2,FALSE),""))</f>
        <v/>
      </c>
      <c r="H151" s="5" t="n"/>
      <c r="I151" s="17" t="n"/>
      <c r="J151" s="17" t="n"/>
      <c r="L151" s="17" t="n"/>
      <c r="M151">
        <f>IF(AND(J151&lt;&gt;"",L151&lt;&gt;""),L151-J151,"")</f>
        <v/>
      </c>
      <c r="N151" s="17">
        <f>IF(AND(J151&lt;&gt;"",L151=""),J151+5,"")</f>
        <v/>
      </c>
      <c r="O151" s="17" t="n"/>
      <c r="S151">
        <f>IF(A151="","",IF(R151&lt;&gt;"Open",R151,IF(P151="Yes","Booked",IF(L151&lt;&gt;"","Replied",IF(J151="","Scheduled",IF(TODAY()&gt;J151+5,"Follow up","Sent"))))))</f>
        <v/>
      </c>
    </row>
    <row r="152">
      <c r="D152">
        <f>IF(C152="","",IFERROR(VLOOKUP(C152,Organisations!$A:$B,2,FALSE),""))</f>
        <v/>
      </c>
      <c r="H152" s="5" t="n"/>
      <c r="I152" s="17" t="n"/>
      <c r="J152" s="17" t="n"/>
      <c r="L152" s="17" t="n"/>
      <c r="M152">
        <f>IF(AND(J152&lt;&gt;"",L152&lt;&gt;""),L152-J152,"")</f>
        <v/>
      </c>
      <c r="N152" s="17">
        <f>IF(AND(J152&lt;&gt;"",L152=""),J152+5,"")</f>
        <v/>
      </c>
      <c r="O152" s="17" t="n"/>
      <c r="S152">
        <f>IF(A152="","",IF(R152&lt;&gt;"Open",R152,IF(P152="Yes","Booked",IF(L152&lt;&gt;"","Replied",IF(J152="","Scheduled",IF(TODAY()&gt;J152+5,"Follow up","Sent"))))))</f>
        <v/>
      </c>
    </row>
    <row r="153">
      <c r="D153">
        <f>IF(C153="","",IFERROR(VLOOKUP(C153,Organisations!$A:$B,2,FALSE),""))</f>
        <v/>
      </c>
      <c r="H153" s="5" t="n"/>
      <c r="I153" s="17" t="n"/>
      <c r="J153" s="17" t="n"/>
      <c r="L153" s="17" t="n"/>
      <c r="M153">
        <f>IF(AND(J153&lt;&gt;"",L153&lt;&gt;""),L153-J153,"")</f>
        <v/>
      </c>
      <c r="N153" s="17">
        <f>IF(AND(J153&lt;&gt;"",L153=""),J153+5,"")</f>
        <v/>
      </c>
      <c r="O153" s="17" t="n"/>
      <c r="S153">
        <f>IF(A153="","",IF(R153&lt;&gt;"Open",R153,IF(P153="Yes","Booked",IF(L153&lt;&gt;"","Replied",IF(J153="","Scheduled",IF(TODAY()&gt;J153+5,"Follow up","Sent"))))))</f>
        <v/>
      </c>
    </row>
    <row r="154">
      <c r="D154">
        <f>IF(C154="","",IFERROR(VLOOKUP(C154,Organisations!$A:$B,2,FALSE),""))</f>
        <v/>
      </c>
      <c r="H154" s="5" t="n"/>
      <c r="I154" s="17" t="n"/>
      <c r="J154" s="17" t="n"/>
      <c r="L154" s="17" t="n"/>
      <c r="M154">
        <f>IF(AND(J154&lt;&gt;"",L154&lt;&gt;""),L154-J154,"")</f>
        <v/>
      </c>
      <c r="N154" s="17">
        <f>IF(AND(J154&lt;&gt;"",L154=""),J154+5,"")</f>
        <v/>
      </c>
      <c r="O154" s="17" t="n"/>
      <c r="S154">
        <f>IF(A154="","",IF(R154&lt;&gt;"Open",R154,IF(P154="Yes","Booked",IF(L154&lt;&gt;"","Replied",IF(J154="","Scheduled",IF(TODAY()&gt;J154+5,"Follow up","Sent"))))))</f>
        <v/>
      </c>
    </row>
    <row r="155">
      <c r="D155">
        <f>IF(C155="","",IFERROR(VLOOKUP(C155,Organisations!$A:$B,2,FALSE),""))</f>
        <v/>
      </c>
      <c r="H155" s="5" t="n"/>
      <c r="I155" s="17" t="n"/>
      <c r="J155" s="17" t="n"/>
      <c r="L155" s="17" t="n"/>
      <c r="M155">
        <f>IF(AND(J155&lt;&gt;"",L155&lt;&gt;""),L155-J155,"")</f>
        <v/>
      </c>
      <c r="N155" s="17">
        <f>IF(AND(J155&lt;&gt;"",L155=""),J155+5,"")</f>
        <v/>
      </c>
      <c r="O155" s="17" t="n"/>
      <c r="S155">
        <f>IF(A155="","",IF(R155&lt;&gt;"Open",R155,IF(P155="Yes","Booked",IF(L155&lt;&gt;"","Replied",IF(J155="","Scheduled",IF(TODAY()&gt;J155+5,"Follow up","Sent"))))))</f>
        <v/>
      </c>
    </row>
    <row r="156">
      <c r="D156">
        <f>IF(C156="","",IFERROR(VLOOKUP(C156,Organisations!$A:$B,2,FALSE),""))</f>
        <v/>
      </c>
      <c r="H156" s="5" t="n"/>
      <c r="I156" s="17" t="n"/>
      <c r="J156" s="17" t="n"/>
      <c r="L156" s="17" t="n"/>
      <c r="M156">
        <f>IF(AND(J156&lt;&gt;"",L156&lt;&gt;""),L156-J156,"")</f>
        <v/>
      </c>
      <c r="N156" s="17">
        <f>IF(AND(J156&lt;&gt;"",L156=""),J156+5,"")</f>
        <v/>
      </c>
      <c r="O156" s="17" t="n"/>
      <c r="S156">
        <f>IF(A156="","",IF(R156&lt;&gt;"Open",R156,IF(P156="Yes","Booked",IF(L156&lt;&gt;"","Replied",IF(J156="","Scheduled",IF(TODAY()&gt;J156+5,"Follow up","Sent"))))))</f>
        <v/>
      </c>
    </row>
    <row r="157">
      <c r="D157">
        <f>IF(C157="","",IFERROR(VLOOKUP(C157,Organisations!$A:$B,2,FALSE),""))</f>
        <v/>
      </c>
      <c r="H157" s="5" t="n"/>
      <c r="I157" s="17" t="n"/>
      <c r="J157" s="17" t="n"/>
      <c r="L157" s="17" t="n"/>
      <c r="M157">
        <f>IF(AND(J157&lt;&gt;"",L157&lt;&gt;""),L157-J157,"")</f>
        <v/>
      </c>
      <c r="N157" s="17">
        <f>IF(AND(J157&lt;&gt;"",L157=""),J157+5,"")</f>
        <v/>
      </c>
      <c r="O157" s="17" t="n"/>
      <c r="S157">
        <f>IF(A157="","",IF(R157&lt;&gt;"Open",R157,IF(P157="Yes","Booked",IF(L157&lt;&gt;"","Replied",IF(J157="","Scheduled",IF(TODAY()&gt;J157+5,"Follow up","Sent"))))))</f>
        <v/>
      </c>
    </row>
    <row r="158">
      <c r="D158">
        <f>IF(C158="","",IFERROR(VLOOKUP(C158,Organisations!$A:$B,2,FALSE),""))</f>
        <v/>
      </c>
      <c r="H158" s="5" t="n"/>
      <c r="I158" s="17" t="n"/>
      <c r="J158" s="17" t="n"/>
      <c r="L158" s="17" t="n"/>
      <c r="M158">
        <f>IF(AND(J158&lt;&gt;"",L158&lt;&gt;""),L158-J158,"")</f>
        <v/>
      </c>
      <c r="N158" s="17">
        <f>IF(AND(J158&lt;&gt;"",L158=""),J158+5,"")</f>
        <v/>
      </c>
      <c r="O158" s="17" t="n"/>
      <c r="S158">
        <f>IF(A158="","",IF(R158&lt;&gt;"Open",R158,IF(P158="Yes","Booked",IF(L158&lt;&gt;"","Replied",IF(J158="","Scheduled",IF(TODAY()&gt;J158+5,"Follow up","Sent"))))))</f>
        <v/>
      </c>
    </row>
    <row r="159">
      <c r="D159">
        <f>IF(C159="","",IFERROR(VLOOKUP(C159,Organisations!$A:$B,2,FALSE),""))</f>
        <v/>
      </c>
      <c r="H159" s="5" t="n"/>
      <c r="I159" s="17" t="n"/>
      <c r="J159" s="17" t="n"/>
      <c r="L159" s="17" t="n"/>
      <c r="M159">
        <f>IF(AND(J159&lt;&gt;"",L159&lt;&gt;""),L159-J159,"")</f>
        <v/>
      </c>
      <c r="N159" s="17">
        <f>IF(AND(J159&lt;&gt;"",L159=""),J159+5,"")</f>
        <v/>
      </c>
      <c r="O159" s="17" t="n"/>
      <c r="S159">
        <f>IF(A159="","",IF(R159&lt;&gt;"Open",R159,IF(P159="Yes","Booked",IF(L159&lt;&gt;"","Replied",IF(J159="","Scheduled",IF(TODAY()&gt;J159+5,"Follow up","Sent"))))))</f>
        <v/>
      </c>
    </row>
    <row r="160">
      <c r="D160">
        <f>IF(C160="","",IFERROR(VLOOKUP(C160,Organisations!$A:$B,2,FALSE),""))</f>
        <v/>
      </c>
      <c r="H160" s="5" t="n"/>
      <c r="I160" s="17" t="n"/>
      <c r="J160" s="17" t="n"/>
      <c r="L160" s="17" t="n"/>
      <c r="M160">
        <f>IF(AND(J160&lt;&gt;"",L160&lt;&gt;""),L160-J160,"")</f>
        <v/>
      </c>
      <c r="N160" s="17">
        <f>IF(AND(J160&lt;&gt;"",L160=""),J160+5,"")</f>
        <v/>
      </c>
      <c r="O160" s="17" t="n"/>
      <c r="S160">
        <f>IF(A160="","",IF(R160&lt;&gt;"Open",R160,IF(P160="Yes","Booked",IF(L160&lt;&gt;"","Replied",IF(J160="","Scheduled",IF(TODAY()&gt;J160+5,"Follow up","Sent"))))))</f>
        <v/>
      </c>
    </row>
    <row r="161">
      <c r="D161">
        <f>IF(C161="","",IFERROR(VLOOKUP(C161,Organisations!$A:$B,2,FALSE),""))</f>
        <v/>
      </c>
      <c r="H161" s="5" t="n"/>
      <c r="I161" s="17" t="n"/>
      <c r="J161" s="17" t="n"/>
      <c r="L161" s="17" t="n"/>
      <c r="M161">
        <f>IF(AND(J161&lt;&gt;"",L161&lt;&gt;""),L161-J161,"")</f>
        <v/>
      </c>
      <c r="N161" s="17">
        <f>IF(AND(J161&lt;&gt;"",L161=""),J161+5,"")</f>
        <v/>
      </c>
      <c r="O161" s="17" t="n"/>
      <c r="S161">
        <f>IF(A161="","",IF(R161&lt;&gt;"Open",R161,IF(P161="Yes","Booked",IF(L161&lt;&gt;"","Replied",IF(J161="","Scheduled",IF(TODAY()&gt;J161+5,"Follow up","Sent"))))))</f>
        <v/>
      </c>
    </row>
    <row r="162">
      <c r="D162">
        <f>IF(C162="","",IFERROR(VLOOKUP(C162,Organisations!$A:$B,2,FALSE),""))</f>
        <v/>
      </c>
      <c r="H162" s="5" t="n"/>
      <c r="I162" s="17" t="n"/>
      <c r="J162" s="17" t="n"/>
      <c r="L162" s="17" t="n"/>
      <c r="M162">
        <f>IF(AND(J162&lt;&gt;"",L162&lt;&gt;""),L162-J162,"")</f>
        <v/>
      </c>
      <c r="N162" s="17">
        <f>IF(AND(J162&lt;&gt;"",L162=""),J162+5,"")</f>
        <v/>
      </c>
      <c r="O162" s="17" t="n"/>
      <c r="S162">
        <f>IF(A162="","",IF(R162&lt;&gt;"Open",R162,IF(P162="Yes","Booked",IF(L162&lt;&gt;"","Replied",IF(J162="","Scheduled",IF(TODAY()&gt;J162+5,"Follow up","Sent"))))))</f>
        <v/>
      </c>
    </row>
    <row r="163">
      <c r="D163">
        <f>IF(C163="","",IFERROR(VLOOKUP(C163,Organisations!$A:$B,2,FALSE),""))</f>
        <v/>
      </c>
      <c r="H163" s="5" t="n"/>
      <c r="I163" s="17" t="n"/>
      <c r="J163" s="17" t="n"/>
      <c r="L163" s="17" t="n"/>
      <c r="M163">
        <f>IF(AND(J163&lt;&gt;"",L163&lt;&gt;""),L163-J163,"")</f>
        <v/>
      </c>
      <c r="N163" s="17">
        <f>IF(AND(J163&lt;&gt;"",L163=""),J163+5,"")</f>
        <v/>
      </c>
      <c r="O163" s="17" t="n"/>
      <c r="S163">
        <f>IF(A163="","",IF(R163&lt;&gt;"Open",R163,IF(P163="Yes","Booked",IF(L163&lt;&gt;"","Replied",IF(J163="","Scheduled",IF(TODAY()&gt;J163+5,"Follow up","Sent"))))))</f>
        <v/>
      </c>
    </row>
    <row r="164">
      <c r="D164">
        <f>IF(C164="","",IFERROR(VLOOKUP(C164,Organisations!$A:$B,2,FALSE),""))</f>
        <v/>
      </c>
      <c r="H164" s="5" t="n"/>
      <c r="I164" s="17" t="n"/>
      <c r="J164" s="17" t="n"/>
      <c r="L164" s="17" t="n"/>
      <c r="M164">
        <f>IF(AND(J164&lt;&gt;"",L164&lt;&gt;""),L164-J164,"")</f>
        <v/>
      </c>
      <c r="N164" s="17">
        <f>IF(AND(J164&lt;&gt;"",L164=""),J164+5,"")</f>
        <v/>
      </c>
      <c r="O164" s="17" t="n"/>
      <c r="S164">
        <f>IF(A164="","",IF(R164&lt;&gt;"Open",R164,IF(P164="Yes","Booked",IF(L164&lt;&gt;"","Replied",IF(J164="","Scheduled",IF(TODAY()&gt;J164+5,"Follow up","Sent"))))))</f>
        <v/>
      </c>
    </row>
    <row r="165">
      <c r="D165">
        <f>IF(C165="","",IFERROR(VLOOKUP(C165,Organisations!$A:$B,2,FALSE),""))</f>
        <v/>
      </c>
      <c r="H165" s="5" t="n"/>
      <c r="I165" s="17" t="n"/>
      <c r="J165" s="17" t="n"/>
      <c r="L165" s="17" t="n"/>
      <c r="M165">
        <f>IF(AND(J165&lt;&gt;"",L165&lt;&gt;""),L165-J165,"")</f>
        <v/>
      </c>
      <c r="N165" s="17">
        <f>IF(AND(J165&lt;&gt;"",L165=""),J165+5,"")</f>
        <v/>
      </c>
      <c r="O165" s="17" t="n"/>
      <c r="S165">
        <f>IF(A165="","",IF(R165&lt;&gt;"Open",R165,IF(P165="Yes","Booked",IF(L165&lt;&gt;"","Replied",IF(J165="","Scheduled",IF(TODAY()&gt;J165+5,"Follow up","Sent"))))))</f>
        <v/>
      </c>
    </row>
    <row r="166">
      <c r="D166">
        <f>IF(C166="","",IFERROR(VLOOKUP(C166,Organisations!$A:$B,2,FALSE),""))</f>
        <v/>
      </c>
      <c r="H166" s="5" t="n"/>
      <c r="I166" s="17" t="n"/>
      <c r="J166" s="17" t="n"/>
      <c r="L166" s="17" t="n"/>
      <c r="M166">
        <f>IF(AND(J166&lt;&gt;"",L166&lt;&gt;""),L166-J166,"")</f>
        <v/>
      </c>
      <c r="N166" s="17">
        <f>IF(AND(J166&lt;&gt;"",L166=""),J166+5,"")</f>
        <v/>
      </c>
      <c r="O166" s="17" t="n"/>
      <c r="S166">
        <f>IF(A166="","",IF(R166&lt;&gt;"Open",R166,IF(P166="Yes","Booked",IF(L166&lt;&gt;"","Replied",IF(J166="","Scheduled",IF(TODAY()&gt;J166+5,"Follow up","Sent"))))))</f>
        <v/>
      </c>
    </row>
    <row r="167">
      <c r="D167">
        <f>IF(C167="","",IFERROR(VLOOKUP(C167,Organisations!$A:$B,2,FALSE),""))</f>
        <v/>
      </c>
      <c r="H167" s="5" t="n"/>
      <c r="I167" s="17" t="n"/>
      <c r="J167" s="17" t="n"/>
      <c r="L167" s="17" t="n"/>
      <c r="M167">
        <f>IF(AND(J167&lt;&gt;"",L167&lt;&gt;""),L167-J167,"")</f>
        <v/>
      </c>
      <c r="N167" s="17">
        <f>IF(AND(J167&lt;&gt;"",L167=""),J167+5,"")</f>
        <v/>
      </c>
      <c r="O167" s="17" t="n"/>
      <c r="S167">
        <f>IF(A167="","",IF(R167&lt;&gt;"Open",R167,IF(P167="Yes","Booked",IF(L167&lt;&gt;"","Replied",IF(J167="","Scheduled",IF(TODAY()&gt;J167+5,"Follow up","Sent"))))))</f>
        <v/>
      </c>
    </row>
    <row r="168">
      <c r="D168">
        <f>IF(C168="","",IFERROR(VLOOKUP(C168,Organisations!$A:$B,2,FALSE),""))</f>
        <v/>
      </c>
      <c r="H168" s="5" t="n"/>
      <c r="I168" s="17" t="n"/>
      <c r="J168" s="17" t="n"/>
      <c r="L168" s="17" t="n"/>
      <c r="M168">
        <f>IF(AND(J168&lt;&gt;"",L168&lt;&gt;""),L168-J168,"")</f>
        <v/>
      </c>
      <c r="N168" s="17">
        <f>IF(AND(J168&lt;&gt;"",L168=""),J168+5,"")</f>
        <v/>
      </c>
      <c r="O168" s="17" t="n"/>
      <c r="S168">
        <f>IF(A168="","",IF(R168&lt;&gt;"Open",R168,IF(P168="Yes","Booked",IF(L168&lt;&gt;"","Replied",IF(J168="","Scheduled",IF(TODAY()&gt;J168+5,"Follow up","Sent"))))))</f>
        <v/>
      </c>
    </row>
    <row r="169">
      <c r="D169">
        <f>IF(C169="","",IFERROR(VLOOKUP(C169,Organisations!$A:$B,2,FALSE),""))</f>
        <v/>
      </c>
      <c r="H169" s="5" t="n"/>
      <c r="I169" s="17" t="n"/>
      <c r="J169" s="17" t="n"/>
      <c r="L169" s="17" t="n"/>
      <c r="M169">
        <f>IF(AND(J169&lt;&gt;"",L169&lt;&gt;""),L169-J169,"")</f>
        <v/>
      </c>
      <c r="N169" s="17">
        <f>IF(AND(J169&lt;&gt;"",L169=""),J169+5,"")</f>
        <v/>
      </c>
      <c r="O169" s="17" t="n"/>
      <c r="S169">
        <f>IF(A169="","",IF(R169&lt;&gt;"Open",R169,IF(P169="Yes","Booked",IF(L169&lt;&gt;"","Replied",IF(J169="","Scheduled",IF(TODAY()&gt;J169+5,"Follow up","Sent"))))))</f>
        <v/>
      </c>
    </row>
    <row r="170">
      <c r="D170">
        <f>IF(C170="","",IFERROR(VLOOKUP(C170,Organisations!$A:$B,2,FALSE),""))</f>
        <v/>
      </c>
      <c r="H170" s="5" t="n"/>
      <c r="I170" s="17" t="n"/>
      <c r="J170" s="17" t="n"/>
      <c r="L170" s="17" t="n"/>
      <c r="M170">
        <f>IF(AND(J170&lt;&gt;"",L170&lt;&gt;""),L170-J170,"")</f>
        <v/>
      </c>
      <c r="N170" s="17">
        <f>IF(AND(J170&lt;&gt;"",L170=""),J170+5,"")</f>
        <v/>
      </c>
      <c r="O170" s="17" t="n"/>
      <c r="S170">
        <f>IF(A170="","",IF(R170&lt;&gt;"Open",R170,IF(P170="Yes","Booked",IF(L170&lt;&gt;"","Replied",IF(J170="","Scheduled",IF(TODAY()&gt;J170+5,"Follow up","Sent"))))))</f>
        <v/>
      </c>
    </row>
    <row r="171">
      <c r="D171">
        <f>IF(C171="","",IFERROR(VLOOKUP(C171,Organisations!$A:$B,2,FALSE),""))</f>
        <v/>
      </c>
      <c r="H171" s="5" t="n"/>
      <c r="I171" s="17" t="n"/>
      <c r="J171" s="17" t="n"/>
      <c r="L171" s="17" t="n"/>
      <c r="M171">
        <f>IF(AND(J171&lt;&gt;"",L171&lt;&gt;""),L171-J171,"")</f>
        <v/>
      </c>
      <c r="N171" s="17">
        <f>IF(AND(J171&lt;&gt;"",L171=""),J171+5,"")</f>
        <v/>
      </c>
      <c r="O171" s="17" t="n"/>
      <c r="S171">
        <f>IF(A171="","",IF(R171&lt;&gt;"Open",R171,IF(P171="Yes","Booked",IF(L171&lt;&gt;"","Replied",IF(J171="","Scheduled",IF(TODAY()&gt;J171+5,"Follow up","Sent"))))))</f>
        <v/>
      </c>
    </row>
    <row r="172">
      <c r="D172">
        <f>IF(C172="","",IFERROR(VLOOKUP(C172,Organisations!$A:$B,2,FALSE),""))</f>
        <v/>
      </c>
      <c r="H172" s="5" t="n"/>
      <c r="I172" s="17" t="n"/>
      <c r="J172" s="17" t="n"/>
      <c r="L172" s="17" t="n"/>
      <c r="M172">
        <f>IF(AND(J172&lt;&gt;"",L172&lt;&gt;""),L172-J172,"")</f>
        <v/>
      </c>
      <c r="N172" s="17">
        <f>IF(AND(J172&lt;&gt;"",L172=""),J172+5,"")</f>
        <v/>
      </c>
      <c r="O172" s="17" t="n"/>
      <c r="S172">
        <f>IF(A172="","",IF(R172&lt;&gt;"Open",R172,IF(P172="Yes","Booked",IF(L172&lt;&gt;"","Replied",IF(J172="","Scheduled",IF(TODAY()&gt;J172+5,"Follow up","Sent"))))))</f>
        <v/>
      </c>
    </row>
    <row r="173">
      <c r="D173">
        <f>IF(C173="","",IFERROR(VLOOKUP(C173,Organisations!$A:$B,2,FALSE),""))</f>
        <v/>
      </c>
      <c r="H173" s="5" t="n"/>
      <c r="I173" s="17" t="n"/>
      <c r="J173" s="17" t="n"/>
      <c r="L173" s="17" t="n"/>
      <c r="M173">
        <f>IF(AND(J173&lt;&gt;"",L173&lt;&gt;""),L173-J173,"")</f>
        <v/>
      </c>
      <c r="N173" s="17">
        <f>IF(AND(J173&lt;&gt;"",L173=""),J173+5,"")</f>
        <v/>
      </c>
      <c r="O173" s="17" t="n"/>
      <c r="S173">
        <f>IF(A173="","",IF(R173&lt;&gt;"Open",R173,IF(P173="Yes","Booked",IF(L173&lt;&gt;"","Replied",IF(J173="","Scheduled",IF(TODAY()&gt;J173+5,"Follow up","Sent"))))))</f>
        <v/>
      </c>
    </row>
    <row r="174">
      <c r="D174">
        <f>IF(C174="","",IFERROR(VLOOKUP(C174,Organisations!$A:$B,2,FALSE),""))</f>
        <v/>
      </c>
      <c r="H174" s="5" t="n"/>
      <c r="I174" s="17" t="n"/>
      <c r="J174" s="17" t="n"/>
      <c r="L174" s="17" t="n"/>
      <c r="M174">
        <f>IF(AND(J174&lt;&gt;"",L174&lt;&gt;""),L174-J174,"")</f>
        <v/>
      </c>
      <c r="N174" s="17">
        <f>IF(AND(J174&lt;&gt;"",L174=""),J174+5,"")</f>
        <v/>
      </c>
      <c r="O174" s="17" t="n"/>
      <c r="S174">
        <f>IF(A174="","",IF(R174&lt;&gt;"Open",R174,IF(P174="Yes","Booked",IF(L174&lt;&gt;"","Replied",IF(J174="","Scheduled",IF(TODAY()&gt;J174+5,"Follow up","Sent"))))))</f>
        <v/>
      </c>
    </row>
    <row r="175">
      <c r="D175">
        <f>IF(C175="","",IFERROR(VLOOKUP(C175,Organisations!$A:$B,2,FALSE),""))</f>
        <v/>
      </c>
      <c r="H175" s="5" t="n"/>
      <c r="I175" s="17" t="n"/>
      <c r="J175" s="17" t="n"/>
      <c r="L175" s="17" t="n"/>
      <c r="M175">
        <f>IF(AND(J175&lt;&gt;"",L175&lt;&gt;""),L175-J175,"")</f>
        <v/>
      </c>
      <c r="N175" s="17">
        <f>IF(AND(J175&lt;&gt;"",L175=""),J175+5,"")</f>
        <v/>
      </c>
      <c r="O175" s="17" t="n"/>
      <c r="S175">
        <f>IF(A175="","",IF(R175&lt;&gt;"Open",R175,IF(P175="Yes","Booked",IF(L175&lt;&gt;"","Replied",IF(J175="","Scheduled",IF(TODAY()&gt;J175+5,"Follow up","Sent"))))))</f>
        <v/>
      </c>
    </row>
    <row r="176">
      <c r="D176">
        <f>IF(C176="","",IFERROR(VLOOKUP(C176,Organisations!$A:$B,2,FALSE),""))</f>
        <v/>
      </c>
      <c r="H176" s="5" t="n"/>
      <c r="I176" s="17" t="n"/>
      <c r="J176" s="17" t="n"/>
      <c r="L176" s="17" t="n"/>
      <c r="M176">
        <f>IF(AND(J176&lt;&gt;"",L176&lt;&gt;""),L176-J176,"")</f>
        <v/>
      </c>
      <c r="N176" s="17">
        <f>IF(AND(J176&lt;&gt;"",L176=""),J176+5,"")</f>
        <v/>
      </c>
      <c r="O176" s="17" t="n"/>
      <c r="S176">
        <f>IF(A176="","",IF(R176&lt;&gt;"Open",R176,IF(P176="Yes","Booked",IF(L176&lt;&gt;"","Replied",IF(J176="","Scheduled",IF(TODAY()&gt;J176+5,"Follow up","Sent"))))))</f>
        <v/>
      </c>
    </row>
    <row r="177">
      <c r="D177">
        <f>IF(C177="","",IFERROR(VLOOKUP(C177,Organisations!$A:$B,2,FALSE),""))</f>
        <v/>
      </c>
      <c r="H177" s="5" t="n"/>
      <c r="I177" s="17" t="n"/>
      <c r="J177" s="17" t="n"/>
      <c r="L177" s="17" t="n"/>
      <c r="M177">
        <f>IF(AND(J177&lt;&gt;"",L177&lt;&gt;""),L177-J177,"")</f>
        <v/>
      </c>
      <c r="N177" s="17">
        <f>IF(AND(J177&lt;&gt;"",L177=""),J177+5,"")</f>
        <v/>
      </c>
      <c r="O177" s="17" t="n"/>
      <c r="S177">
        <f>IF(A177="","",IF(R177&lt;&gt;"Open",R177,IF(P177="Yes","Booked",IF(L177&lt;&gt;"","Replied",IF(J177="","Scheduled",IF(TODAY()&gt;J177+5,"Follow up","Sent"))))))</f>
        <v/>
      </c>
    </row>
    <row r="178">
      <c r="D178">
        <f>IF(C178="","",IFERROR(VLOOKUP(C178,Organisations!$A:$B,2,FALSE),""))</f>
        <v/>
      </c>
      <c r="H178" s="5" t="n"/>
      <c r="I178" s="17" t="n"/>
      <c r="J178" s="17" t="n"/>
      <c r="L178" s="17" t="n"/>
      <c r="M178">
        <f>IF(AND(J178&lt;&gt;"",L178&lt;&gt;""),L178-J178,"")</f>
        <v/>
      </c>
      <c r="N178" s="17">
        <f>IF(AND(J178&lt;&gt;"",L178=""),J178+5,"")</f>
        <v/>
      </c>
      <c r="O178" s="17" t="n"/>
      <c r="S178">
        <f>IF(A178="","",IF(R178&lt;&gt;"Open",R178,IF(P178="Yes","Booked",IF(L178&lt;&gt;"","Replied",IF(J178="","Scheduled",IF(TODAY()&gt;J178+5,"Follow up","Sent"))))))</f>
        <v/>
      </c>
    </row>
    <row r="179">
      <c r="D179">
        <f>IF(C179="","",IFERROR(VLOOKUP(C179,Organisations!$A:$B,2,FALSE),""))</f>
        <v/>
      </c>
      <c r="H179" s="5" t="n"/>
      <c r="I179" s="17" t="n"/>
      <c r="J179" s="17" t="n"/>
      <c r="L179" s="17" t="n"/>
      <c r="M179">
        <f>IF(AND(J179&lt;&gt;"",L179&lt;&gt;""),L179-J179,"")</f>
        <v/>
      </c>
      <c r="N179" s="17">
        <f>IF(AND(J179&lt;&gt;"",L179=""),J179+5,"")</f>
        <v/>
      </c>
      <c r="O179" s="17" t="n"/>
      <c r="S179">
        <f>IF(A179="","",IF(R179&lt;&gt;"Open",R179,IF(P179="Yes","Booked",IF(L179&lt;&gt;"","Replied",IF(J179="","Scheduled",IF(TODAY()&gt;J179+5,"Follow up","Sent"))))))</f>
        <v/>
      </c>
    </row>
    <row r="180">
      <c r="D180">
        <f>IF(C180="","",IFERROR(VLOOKUP(C180,Organisations!$A:$B,2,FALSE),""))</f>
        <v/>
      </c>
      <c r="H180" s="5" t="n"/>
      <c r="I180" s="17" t="n"/>
      <c r="J180" s="17" t="n"/>
      <c r="L180" s="17" t="n"/>
      <c r="M180">
        <f>IF(AND(J180&lt;&gt;"",L180&lt;&gt;""),L180-J180,"")</f>
        <v/>
      </c>
      <c r="N180" s="17">
        <f>IF(AND(J180&lt;&gt;"",L180=""),J180+5,"")</f>
        <v/>
      </c>
      <c r="O180" s="17" t="n"/>
      <c r="S180">
        <f>IF(A180="","",IF(R180&lt;&gt;"Open",R180,IF(P180="Yes","Booked",IF(L180&lt;&gt;"","Replied",IF(J180="","Scheduled",IF(TODAY()&gt;J180+5,"Follow up","Sent"))))))</f>
        <v/>
      </c>
    </row>
    <row r="181">
      <c r="D181">
        <f>IF(C181="","",IFERROR(VLOOKUP(C181,Organisations!$A:$B,2,FALSE),""))</f>
        <v/>
      </c>
      <c r="H181" s="5" t="n"/>
      <c r="I181" s="17" t="n"/>
      <c r="J181" s="17" t="n"/>
      <c r="L181" s="17" t="n"/>
      <c r="M181">
        <f>IF(AND(J181&lt;&gt;"",L181&lt;&gt;""),L181-J181,"")</f>
        <v/>
      </c>
      <c r="N181" s="17">
        <f>IF(AND(J181&lt;&gt;"",L181=""),J181+5,"")</f>
        <v/>
      </c>
      <c r="O181" s="17" t="n"/>
      <c r="S181">
        <f>IF(A181="","",IF(R181&lt;&gt;"Open",R181,IF(P181="Yes","Booked",IF(L181&lt;&gt;"","Replied",IF(J181="","Scheduled",IF(TODAY()&gt;J181+5,"Follow up","Sent"))))))</f>
        <v/>
      </c>
    </row>
    <row r="182">
      <c r="D182">
        <f>IF(C182="","",IFERROR(VLOOKUP(C182,Organisations!$A:$B,2,FALSE),""))</f>
        <v/>
      </c>
      <c r="H182" s="5" t="n"/>
      <c r="I182" s="17" t="n"/>
      <c r="J182" s="17" t="n"/>
      <c r="L182" s="17" t="n"/>
      <c r="M182">
        <f>IF(AND(J182&lt;&gt;"",L182&lt;&gt;""),L182-J182,"")</f>
        <v/>
      </c>
      <c r="N182" s="17">
        <f>IF(AND(J182&lt;&gt;"",L182=""),J182+5,"")</f>
        <v/>
      </c>
      <c r="O182" s="17" t="n"/>
      <c r="S182">
        <f>IF(A182="","",IF(R182&lt;&gt;"Open",R182,IF(P182="Yes","Booked",IF(L182&lt;&gt;"","Replied",IF(J182="","Scheduled",IF(TODAY()&gt;J182+5,"Follow up","Sent"))))))</f>
        <v/>
      </c>
    </row>
    <row r="183">
      <c r="D183">
        <f>IF(C183="","",IFERROR(VLOOKUP(C183,Organisations!$A:$B,2,FALSE),""))</f>
        <v/>
      </c>
      <c r="H183" s="5" t="n"/>
      <c r="I183" s="17" t="n"/>
      <c r="J183" s="17" t="n"/>
      <c r="L183" s="17" t="n"/>
      <c r="M183">
        <f>IF(AND(J183&lt;&gt;"",L183&lt;&gt;""),L183-J183,"")</f>
        <v/>
      </c>
      <c r="N183" s="17">
        <f>IF(AND(J183&lt;&gt;"",L183=""),J183+5,"")</f>
        <v/>
      </c>
      <c r="O183" s="17" t="n"/>
      <c r="S183">
        <f>IF(A183="","",IF(R183&lt;&gt;"Open",R183,IF(P183="Yes","Booked",IF(L183&lt;&gt;"","Replied",IF(J183="","Scheduled",IF(TODAY()&gt;J183+5,"Follow up","Sent"))))))</f>
        <v/>
      </c>
    </row>
    <row r="184">
      <c r="D184">
        <f>IF(C184="","",IFERROR(VLOOKUP(C184,Organisations!$A:$B,2,FALSE),""))</f>
        <v/>
      </c>
      <c r="H184" s="5" t="n"/>
      <c r="I184" s="17" t="n"/>
      <c r="J184" s="17" t="n"/>
      <c r="L184" s="17" t="n"/>
      <c r="M184">
        <f>IF(AND(J184&lt;&gt;"",L184&lt;&gt;""),L184-J184,"")</f>
        <v/>
      </c>
      <c r="N184" s="17">
        <f>IF(AND(J184&lt;&gt;"",L184=""),J184+5,"")</f>
        <v/>
      </c>
      <c r="O184" s="17" t="n"/>
      <c r="S184">
        <f>IF(A184="","",IF(R184&lt;&gt;"Open",R184,IF(P184="Yes","Booked",IF(L184&lt;&gt;"","Replied",IF(J184="","Scheduled",IF(TODAY()&gt;J184+5,"Follow up","Sent"))))))</f>
        <v/>
      </c>
    </row>
    <row r="185">
      <c r="D185">
        <f>IF(C185="","",IFERROR(VLOOKUP(C185,Organisations!$A:$B,2,FALSE),""))</f>
        <v/>
      </c>
      <c r="H185" s="5" t="n"/>
      <c r="I185" s="17" t="n"/>
      <c r="J185" s="17" t="n"/>
      <c r="L185" s="17" t="n"/>
      <c r="M185">
        <f>IF(AND(J185&lt;&gt;"",L185&lt;&gt;""),L185-J185,"")</f>
        <v/>
      </c>
      <c r="N185" s="17">
        <f>IF(AND(J185&lt;&gt;"",L185=""),J185+5,"")</f>
        <v/>
      </c>
      <c r="O185" s="17" t="n"/>
      <c r="S185">
        <f>IF(A185="","",IF(R185&lt;&gt;"Open",R185,IF(P185="Yes","Booked",IF(L185&lt;&gt;"","Replied",IF(J185="","Scheduled",IF(TODAY()&gt;J185+5,"Follow up","Sent"))))))</f>
        <v/>
      </c>
    </row>
    <row r="186">
      <c r="D186">
        <f>IF(C186="","",IFERROR(VLOOKUP(C186,Organisations!$A:$B,2,FALSE),""))</f>
        <v/>
      </c>
      <c r="H186" s="5" t="n"/>
      <c r="I186" s="17" t="n"/>
      <c r="J186" s="17" t="n"/>
      <c r="L186" s="17" t="n"/>
      <c r="M186">
        <f>IF(AND(J186&lt;&gt;"",L186&lt;&gt;""),L186-J186,"")</f>
        <v/>
      </c>
      <c r="N186" s="17">
        <f>IF(AND(J186&lt;&gt;"",L186=""),J186+5,"")</f>
        <v/>
      </c>
      <c r="O186" s="17" t="n"/>
      <c r="S186">
        <f>IF(A186="","",IF(R186&lt;&gt;"Open",R186,IF(P186="Yes","Booked",IF(L186&lt;&gt;"","Replied",IF(J186="","Scheduled",IF(TODAY()&gt;J186+5,"Follow up","Sent"))))))</f>
        <v/>
      </c>
    </row>
    <row r="187">
      <c r="D187">
        <f>IF(C187="","",IFERROR(VLOOKUP(C187,Organisations!$A:$B,2,FALSE),""))</f>
        <v/>
      </c>
      <c r="H187" s="5" t="n"/>
      <c r="I187" s="17" t="n"/>
      <c r="J187" s="17" t="n"/>
      <c r="L187" s="17" t="n"/>
      <c r="M187">
        <f>IF(AND(J187&lt;&gt;"",L187&lt;&gt;""),L187-J187,"")</f>
        <v/>
      </c>
      <c r="N187" s="17">
        <f>IF(AND(J187&lt;&gt;"",L187=""),J187+5,"")</f>
        <v/>
      </c>
      <c r="O187" s="17" t="n"/>
      <c r="S187">
        <f>IF(A187="","",IF(R187&lt;&gt;"Open",R187,IF(P187="Yes","Booked",IF(L187&lt;&gt;"","Replied",IF(J187="","Scheduled",IF(TODAY()&gt;J187+5,"Follow up","Sent"))))))</f>
        <v/>
      </c>
    </row>
    <row r="188">
      <c r="D188">
        <f>IF(C188="","",IFERROR(VLOOKUP(C188,Organisations!$A:$B,2,FALSE),""))</f>
        <v/>
      </c>
      <c r="H188" s="5" t="n"/>
      <c r="I188" s="17" t="n"/>
      <c r="J188" s="17" t="n"/>
      <c r="L188" s="17" t="n"/>
      <c r="M188">
        <f>IF(AND(J188&lt;&gt;"",L188&lt;&gt;""),L188-J188,"")</f>
        <v/>
      </c>
      <c r="N188" s="17">
        <f>IF(AND(J188&lt;&gt;"",L188=""),J188+5,"")</f>
        <v/>
      </c>
      <c r="O188" s="17" t="n"/>
      <c r="S188">
        <f>IF(A188="","",IF(R188&lt;&gt;"Open",R188,IF(P188="Yes","Booked",IF(L188&lt;&gt;"","Replied",IF(J188="","Scheduled",IF(TODAY()&gt;J188+5,"Follow up","Sent"))))))</f>
        <v/>
      </c>
    </row>
    <row r="189">
      <c r="D189">
        <f>IF(C189="","",IFERROR(VLOOKUP(C189,Organisations!$A:$B,2,FALSE),""))</f>
        <v/>
      </c>
      <c r="H189" s="5" t="n"/>
      <c r="I189" s="17" t="n"/>
      <c r="J189" s="17" t="n"/>
      <c r="L189" s="17" t="n"/>
      <c r="M189">
        <f>IF(AND(J189&lt;&gt;"",L189&lt;&gt;""),L189-J189,"")</f>
        <v/>
      </c>
      <c r="N189" s="17">
        <f>IF(AND(J189&lt;&gt;"",L189=""),J189+5,"")</f>
        <v/>
      </c>
      <c r="O189" s="17" t="n"/>
      <c r="S189">
        <f>IF(A189="","",IF(R189&lt;&gt;"Open",R189,IF(P189="Yes","Booked",IF(L189&lt;&gt;"","Replied",IF(J189="","Scheduled",IF(TODAY()&gt;J189+5,"Follow up","Sent"))))))</f>
        <v/>
      </c>
    </row>
    <row r="190">
      <c r="D190">
        <f>IF(C190="","",IFERROR(VLOOKUP(C190,Organisations!$A:$B,2,FALSE),""))</f>
        <v/>
      </c>
      <c r="H190" s="5" t="n"/>
      <c r="I190" s="17" t="n"/>
      <c r="J190" s="17" t="n"/>
      <c r="L190" s="17" t="n"/>
      <c r="M190">
        <f>IF(AND(J190&lt;&gt;"",L190&lt;&gt;""),L190-J190,"")</f>
        <v/>
      </c>
      <c r="N190" s="17">
        <f>IF(AND(J190&lt;&gt;"",L190=""),J190+5,"")</f>
        <v/>
      </c>
      <c r="O190" s="17" t="n"/>
      <c r="S190">
        <f>IF(A190="","",IF(R190&lt;&gt;"Open",R190,IF(P190="Yes","Booked",IF(L190&lt;&gt;"","Replied",IF(J190="","Scheduled",IF(TODAY()&gt;J190+5,"Follow up","Sent"))))))</f>
        <v/>
      </c>
    </row>
    <row r="191">
      <c r="D191">
        <f>IF(C191="","",IFERROR(VLOOKUP(C191,Organisations!$A:$B,2,FALSE),""))</f>
        <v/>
      </c>
      <c r="H191" s="5" t="n"/>
      <c r="I191" s="17" t="n"/>
      <c r="J191" s="17" t="n"/>
      <c r="L191" s="17" t="n"/>
      <c r="M191">
        <f>IF(AND(J191&lt;&gt;"",L191&lt;&gt;""),L191-J191,"")</f>
        <v/>
      </c>
      <c r="N191" s="17">
        <f>IF(AND(J191&lt;&gt;"",L191=""),J191+5,"")</f>
        <v/>
      </c>
      <c r="O191" s="17" t="n"/>
      <c r="S191">
        <f>IF(A191="","",IF(R191&lt;&gt;"Open",R191,IF(P191="Yes","Booked",IF(L191&lt;&gt;"","Replied",IF(J191="","Scheduled",IF(TODAY()&gt;J191+5,"Follow up","Sent"))))))</f>
        <v/>
      </c>
    </row>
    <row r="192">
      <c r="D192">
        <f>IF(C192="","",IFERROR(VLOOKUP(C192,Organisations!$A:$B,2,FALSE),""))</f>
        <v/>
      </c>
      <c r="H192" s="5" t="n"/>
      <c r="I192" s="17" t="n"/>
      <c r="J192" s="17" t="n"/>
      <c r="L192" s="17" t="n"/>
      <c r="M192">
        <f>IF(AND(J192&lt;&gt;"",L192&lt;&gt;""),L192-J192,"")</f>
        <v/>
      </c>
      <c r="N192" s="17">
        <f>IF(AND(J192&lt;&gt;"",L192=""),J192+5,"")</f>
        <v/>
      </c>
      <c r="O192" s="17" t="n"/>
      <c r="S192">
        <f>IF(A192="","",IF(R192&lt;&gt;"Open",R192,IF(P192="Yes","Booked",IF(L192&lt;&gt;"","Replied",IF(J192="","Scheduled",IF(TODAY()&gt;J192+5,"Follow up","Sent"))))))</f>
        <v/>
      </c>
    </row>
    <row r="193">
      <c r="D193">
        <f>IF(C193="","",IFERROR(VLOOKUP(C193,Organisations!$A:$B,2,FALSE),""))</f>
        <v/>
      </c>
      <c r="H193" s="5" t="n"/>
      <c r="I193" s="17" t="n"/>
      <c r="J193" s="17" t="n"/>
      <c r="L193" s="17" t="n"/>
      <c r="M193">
        <f>IF(AND(J193&lt;&gt;"",L193&lt;&gt;""),L193-J193,"")</f>
        <v/>
      </c>
      <c r="N193" s="17">
        <f>IF(AND(J193&lt;&gt;"",L193=""),J193+5,"")</f>
        <v/>
      </c>
      <c r="O193" s="17" t="n"/>
      <c r="S193">
        <f>IF(A193="","",IF(R193&lt;&gt;"Open",R193,IF(P193="Yes","Booked",IF(L193&lt;&gt;"","Replied",IF(J193="","Scheduled",IF(TODAY()&gt;J193+5,"Follow up","Sent"))))))</f>
        <v/>
      </c>
    </row>
    <row r="194">
      <c r="D194">
        <f>IF(C194="","",IFERROR(VLOOKUP(C194,Organisations!$A:$B,2,FALSE),""))</f>
        <v/>
      </c>
      <c r="H194" s="5" t="n"/>
      <c r="I194" s="17" t="n"/>
      <c r="J194" s="17" t="n"/>
      <c r="L194" s="17" t="n"/>
      <c r="M194">
        <f>IF(AND(J194&lt;&gt;"",L194&lt;&gt;""),L194-J194,"")</f>
        <v/>
      </c>
      <c r="N194" s="17">
        <f>IF(AND(J194&lt;&gt;"",L194=""),J194+5,"")</f>
        <v/>
      </c>
      <c r="O194" s="17" t="n"/>
      <c r="S194">
        <f>IF(A194="","",IF(R194&lt;&gt;"Open",R194,IF(P194="Yes","Booked",IF(L194&lt;&gt;"","Replied",IF(J194="","Scheduled",IF(TODAY()&gt;J194+5,"Follow up","Sent"))))))</f>
        <v/>
      </c>
    </row>
    <row r="195">
      <c r="D195">
        <f>IF(C195="","",IFERROR(VLOOKUP(C195,Organisations!$A:$B,2,FALSE),""))</f>
        <v/>
      </c>
      <c r="H195" s="5" t="n"/>
      <c r="I195" s="17" t="n"/>
      <c r="J195" s="17" t="n"/>
      <c r="L195" s="17" t="n"/>
      <c r="M195">
        <f>IF(AND(J195&lt;&gt;"",L195&lt;&gt;""),L195-J195,"")</f>
        <v/>
      </c>
      <c r="N195" s="17">
        <f>IF(AND(J195&lt;&gt;"",L195=""),J195+5,"")</f>
        <v/>
      </c>
      <c r="O195" s="17" t="n"/>
      <c r="S195">
        <f>IF(A195="","",IF(R195&lt;&gt;"Open",R195,IF(P195="Yes","Booked",IF(L195&lt;&gt;"","Replied",IF(J195="","Scheduled",IF(TODAY()&gt;J195+5,"Follow up","Sent"))))))</f>
        <v/>
      </c>
    </row>
    <row r="196">
      <c r="D196">
        <f>IF(C196="","",IFERROR(VLOOKUP(C196,Organisations!$A:$B,2,FALSE),""))</f>
        <v/>
      </c>
      <c r="H196" s="5" t="n"/>
      <c r="I196" s="17" t="n"/>
      <c r="J196" s="17" t="n"/>
      <c r="L196" s="17" t="n"/>
      <c r="M196">
        <f>IF(AND(J196&lt;&gt;"",L196&lt;&gt;""),L196-J196,"")</f>
        <v/>
      </c>
      <c r="N196" s="17">
        <f>IF(AND(J196&lt;&gt;"",L196=""),J196+5,"")</f>
        <v/>
      </c>
      <c r="O196" s="17" t="n"/>
      <c r="S196">
        <f>IF(A196="","",IF(R196&lt;&gt;"Open",R196,IF(P196="Yes","Booked",IF(L196&lt;&gt;"","Replied",IF(J196="","Scheduled",IF(TODAY()&gt;J196+5,"Follow up","Sent"))))))</f>
        <v/>
      </c>
    </row>
    <row r="197">
      <c r="D197">
        <f>IF(C197="","",IFERROR(VLOOKUP(C197,Organisations!$A:$B,2,FALSE),""))</f>
        <v/>
      </c>
      <c r="H197" s="5" t="n"/>
      <c r="I197" s="17" t="n"/>
      <c r="J197" s="17" t="n"/>
      <c r="L197" s="17" t="n"/>
      <c r="M197">
        <f>IF(AND(J197&lt;&gt;"",L197&lt;&gt;""),L197-J197,"")</f>
        <v/>
      </c>
      <c r="N197" s="17">
        <f>IF(AND(J197&lt;&gt;"",L197=""),J197+5,"")</f>
        <v/>
      </c>
      <c r="O197" s="17" t="n"/>
      <c r="S197">
        <f>IF(A197="","",IF(R197&lt;&gt;"Open",R197,IF(P197="Yes","Booked",IF(L197&lt;&gt;"","Replied",IF(J197="","Scheduled",IF(TODAY()&gt;J197+5,"Follow up","Sent"))))))</f>
        <v/>
      </c>
    </row>
    <row r="198">
      <c r="D198">
        <f>IF(C198="","",IFERROR(VLOOKUP(C198,Organisations!$A:$B,2,FALSE),""))</f>
        <v/>
      </c>
      <c r="H198" s="5" t="n"/>
      <c r="I198" s="17" t="n"/>
      <c r="J198" s="17" t="n"/>
      <c r="L198" s="17" t="n"/>
      <c r="M198">
        <f>IF(AND(J198&lt;&gt;"",L198&lt;&gt;""),L198-J198,"")</f>
        <v/>
      </c>
      <c r="N198" s="17">
        <f>IF(AND(J198&lt;&gt;"",L198=""),J198+5,"")</f>
        <v/>
      </c>
      <c r="O198" s="17" t="n"/>
      <c r="S198">
        <f>IF(A198="","",IF(R198&lt;&gt;"Open",R198,IF(P198="Yes","Booked",IF(L198&lt;&gt;"","Replied",IF(J198="","Scheduled",IF(TODAY()&gt;J198+5,"Follow up","Sent"))))))</f>
        <v/>
      </c>
    </row>
    <row r="199">
      <c r="D199">
        <f>IF(C199="","",IFERROR(VLOOKUP(C199,Organisations!$A:$B,2,FALSE),""))</f>
        <v/>
      </c>
      <c r="H199" s="5" t="n"/>
      <c r="I199" s="17" t="n"/>
      <c r="J199" s="17" t="n"/>
      <c r="L199" s="17" t="n"/>
      <c r="M199">
        <f>IF(AND(J199&lt;&gt;"",L199&lt;&gt;""),L199-J199,"")</f>
        <v/>
      </c>
      <c r="N199" s="17">
        <f>IF(AND(J199&lt;&gt;"",L199=""),J199+5,"")</f>
        <v/>
      </c>
      <c r="O199" s="17" t="n"/>
      <c r="S199">
        <f>IF(A199="","",IF(R199&lt;&gt;"Open",R199,IF(P199="Yes","Booked",IF(L199&lt;&gt;"","Replied",IF(J199="","Scheduled",IF(TODAY()&gt;J199+5,"Follow up","Sent"))))))</f>
        <v/>
      </c>
    </row>
    <row r="200">
      <c r="D200">
        <f>IF(C200="","",IFERROR(VLOOKUP(C200,Organisations!$A:$B,2,FALSE),""))</f>
        <v/>
      </c>
      <c r="H200" s="5" t="n"/>
      <c r="I200" s="17" t="n"/>
      <c r="J200" s="17" t="n"/>
      <c r="L200" s="17" t="n"/>
      <c r="M200">
        <f>IF(AND(J200&lt;&gt;"",L200&lt;&gt;""),L200-J200,"")</f>
        <v/>
      </c>
      <c r="N200" s="17">
        <f>IF(AND(J200&lt;&gt;"",L200=""),J200+5,"")</f>
        <v/>
      </c>
      <c r="O200" s="17" t="n"/>
      <c r="S200">
        <f>IF(A200="","",IF(R200&lt;&gt;"Open",R200,IF(P200="Yes","Booked",IF(L200&lt;&gt;"","Replied",IF(J200="","Scheduled",IF(TODAY()&gt;J200+5,"Follow up","Sent"))))))</f>
        <v/>
      </c>
    </row>
  </sheetData>
  <conditionalFormatting sqref="S2:S200">
    <cfRule type="cellIs" priority="1" operator="equal" dxfId="0">
      <formula>"Follow up"</formula>
    </cfRule>
    <cfRule type="cellIs" priority="2" operator="equal" dxfId="1">
      <formula>"Replied"</formula>
    </cfRule>
    <cfRule type="cellIs" priority="3" operator="equal" dxfId="2">
      <formula>"Booked"</formula>
    </cfRule>
    <cfRule type="cellIs" priority="4" operator="equal" dxfId="3">
      <formula>"Sent"</formula>
    </cfRule>
    <cfRule type="cellIs" priority="5" operator="equal" dxfId="4">
      <formula>"Declined"</formula>
    </cfRule>
  </conditionalFormatting>
  <dataValidations count="4">
    <dataValidation sqref="B2:B200" showDropDown="0" showInputMessage="0" showErrorMessage="0" allowBlank="1" type="list">
      <formula1>"v1,v2,v3"</formula1>
    </dataValidation>
    <dataValidation sqref="E2:E200" showDropDown="0" showInputMessage="0" showErrorMessage="0" allowBlank="1" type="list">
      <formula1>"Email,Formal letter,Facebook group,Community post,LinkedIn,Forum / DM,Reddit,In person,Phone call,WhatsApp,Same as v1"</formula1>
    </dataValidation>
    <dataValidation sqref="P2:P200" showDropDown="0" showInputMessage="0" showErrorMessage="0" allowBlank="1" type="list">
      <formula1>"Yes,No"</formula1>
    </dataValidation>
    <dataValidation sqref="R2:R200" showDropDown="0" showInputMessage="0" showErrorMessage="0" allowBlank="1" type="list">
      <formula1>"Open,Declined,Not sent,Bounced,Wrong person"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833D9"/>
    <outlinePr summaryBelow="1" summaryRight="1"/>
    <pageSetUpPr/>
  </sheetPr>
  <dimension ref="A1:N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8" customWidth="1" min="3" max="3"/>
    <col width="26" customWidth="1" min="4" max="4"/>
    <col width="11" customWidth="1" min="5" max="5"/>
    <col width="13" customWidth="1" min="6" max="6"/>
    <col width="12" customWidth="1" min="7" max="7"/>
    <col width="11" customWidth="1" min="8" max="8"/>
    <col width="10" customWidth="1" min="9" max="9"/>
    <col width="14" customWidth="1" min="10" max="10"/>
    <col width="14" customWidth="1" min="11" max="11"/>
    <col width="30" customWidth="1" min="12" max="12"/>
    <col width="14" customWidth="1" min="13" max="13"/>
    <col width="30" customWidth="1" min="14" max="14"/>
  </cols>
  <sheetData>
    <row r="1" ht="32" customHeight="1">
      <c r="A1" s="14" t="inlineStr">
        <is>
          <t>Contact ID</t>
        </is>
      </c>
      <c r="B1" s="14" t="inlineStr">
        <is>
          <t>Role (no names)</t>
        </is>
      </c>
      <c r="C1" s="14" t="inlineStr">
        <is>
          <t>Org ID</t>
        </is>
      </c>
      <c r="D1" s="14" t="inlineStr">
        <is>
          <t>Organisation</t>
        </is>
      </c>
      <c r="E1" s="14" t="inlineStr">
        <is>
          <t>Segment</t>
        </is>
      </c>
      <c r="F1" s="14" t="inlineStr">
        <is>
          <t>Setting</t>
        </is>
      </c>
      <c r="G1" s="14" t="inlineStr">
        <is>
          <t>Connected to Algo Peers?</t>
        </is>
      </c>
      <c r="H1" s="14" t="inlineStr">
        <is>
          <t>Consent recorded?</t>
        </is>
      </c>
      <c r="I1" s="14" t="inlineStr">
        <is>
          <t>Source msg ID</t>
        </is>
      </c>
      <c r="J1" s="14" t="inlineStr">
        <is>
          <t>First contact</t>
        </is>
      </c>
      <c r="K1" s="14" t="inlineStr">
        <is>
          <t>Last contact</t>
        </is>
      </c>
      <c r="L1" s="14" t="inlineStr">
        <is>
          <t>Next step</t>
        </is>
      </c>
      <c r="M1" s="14" t="inlineStr">
        <is>
          <t>Next step date</t>
        </is>
      </c>
      <c r="N1" s="14" t="inlineStr">
        <is>
          <t>Notes</t>
        </is>
      </c>
    </row>
    <row r="2">
      <c r="A2" s="15" t="inlineStr">
        <is>
          <t>C01</t>
        </is>
      </c>
      <c r="B2" s="15" t="inlineStr">
        <is>
          <t>Owner 1</t>
        </is>
      </c>
      <c r="C2" s="15" t="inlineStr">
        <is>
          <t>G2</t>
        </is>
      </c>
      <c r="D2" s="15">
        <f>IF(C2="","",IFERROR(VLOOKUP(C2,Organisations!$A:$B,2,FALSE),""))</f>
        <v/>
      </c>
      <c r="E2" s="15" t="inlineStr">
        <is>
          <t>Buyer</t>
        </is>
      </c>
      <c r="F2" s="15" t="inlineStr">
        <is>
          <t>Constrained</t>
        </is>
      </c>
      <c r="G2" s="15" t="inlineStr">
        <is>
          <t>No</t>
        </is>
      </c>
      <c r="H2" s="15" t="inlineStr">
        <is>
          <t>No</t>
        </is>
      </c>
      <c r="I2" s="15" t="inlineStr">
        <is>
          <t>P1</t>
        </is>
      </c>
      <c r="J2" s="16" t="n"/>
      <c r="K2" s="16" t="n"/>
      <c r="L2" s="15" t="inlineStr">
        <is>
          <t>Interview</t>
        </is>
      </c>
      <c r="M2" s="16" t="n">
        <v>46296</v>
      </c>
      <c r="N2" s="15" t="inlineStr">
        <is>
          <t>Planned participant; confirm when they reply</t>
        </is>
      </c>
    </row>
    <row r="3">
      <c r="A3" s="15" t="inlineStr">
        <is>
          <t>C02</t>
        </is>
      </c>
      <c r="B3" s="15" t="inlineStr">
        <is>
          <t>Owner 2</t>
        </is>
      </c>
      <c r="C3" s="15" t="inlineStr">
        <is>
          <t>CC</t>
        </is>
      </c>
      <c r="D3" s="15">
        <f>IF(C3="","",IFERROR(VLOOKUP(C3,Organisations!$A:$B,2,FALSE),""))</f>
        <v/>
      </c>
      <c r="E3" s="15" t="inlineStr">
        <is>
          <t>Buyer</t>
        </is>
      </c>
      <c r="F3" s="15" t="inlineStr">
        <is>
          <t>Constrained</t>
        </is>
      </c>
      <c r="G3" s="15" t="inlineStr">
        <is>
          <t>No</t>
        </is>
      </c>
      <c r="H3" s="15" t="inlineStr">
        <is>
          <t>No</t>
        </is>
      </c>
      <c r="I3" s="15" t="inlineStr">
        <is>
          <t>CC1</t>
        </is>
      </c>
      <c r="J3" s="16" t="n"/>
      <c r="K3" s="16" t="n"/>
      <c r="L3" s="15" t="inlineStr">
        <is>
          <t>Interview</t>
        </is>
      </c>
      <c r="M3" s="16" t="n">
        <v>46295</v>
      </c>
      <c r="N3" s="15" t="inlineStr">
        <is>
          <t>Planned participant; confirm when they reply</t>
        </is>
      </c>
    </row>
    <row r="4">
      <c r="A4" s="15" t="inlineStr">
        <is>
          <t>C03</t>
        </is>
      </c>
      <c r="B4" s="15" t="inlineStr">
        <is>
          <t>Owner 3</t>
        </is>
      </c>
      <c r="C4" s="15" t="inlineStr">
        <is>
          <t>CC</t>
        </is>
      </c>
      <c r="D4" s="15">
        <f>IF(C4="","",IFERROR(VLOOKUP(C4,Organisations!$A:$B,2,FALSE),""))</f>
        <v/>
      </c>
      <c r="E4" s="15" t="inlineStr">
        <is>
          <t>Buyer</t>
        </is>
      </c>
      <c r="F4" s="15" t="inlineStr">
        <is>
          <t>Constrained</t>
        </is>
      </c>
      <c r="G4" s="15" t="inlineStr">
        <is>
          <t>No</t>
        </is>
      </c>
      <c r="H4" s="15" t="inlineStr">
        <is>
          <t>No</t>
        </is>
      </c>
      <c r="I4" s="15" t="inlineStr">
        <is>
          <t>CC2</t>
        </is>
      </c>
      <c r="J4" s="16" t="n"/>
      <c r="K4" s="16" t="n"/>
      <c r="L4" s="15" t="inlineStr">
        <is>
          <t>Interview</t>
        </is>
      </c>
      <c r="M4" s="16" t="n">
        <v>46296</v>
      </c>
      <c r="N4" s="15" t="inlineStr">
        <is>
          <t>Planned participant; confirm when they reply</t>
        </is>
      </c>
    </row>
    <row r="5">
      <c r="A5" s="15" t="inlineStr">
        <is>
          <t>C04</t>
        </is>
      </c>
      <c r="B5" s="15" t="inlineStr">
        <is>
          <t>Parent 1</t>
        </is>
      </c>
      <c r="C5" s="15" t="inlineStr"/>
      <c r="D5" s="15">
        <f>IF(C5="","",IFERROR(VLOOKUP(C5,Organisations!$A:$B,2,FALSE),""))</f>
        <v/>
      </c>
      <c r="E5" s="15" t="inlineStr">
        <is>
          <t>Buyer</t>
        </is>
      </c>
      <c r="F5" s="15" t="inlineStr">
        <is>
          <t>Constrained</t>
        </is>
      </c>
      <c r="G5" s="15" t="inlineStr">
        <is>
          <t>Yes</t>
        </is>
      </c>
      <c r="H5" s="15" t="inlineStr">
        <is>
          <t>No</t>
        </is>
      </c>
      <c r="I5" s="15" t="inlineStr"/>
      <c r="J5" s="16" t="n"/>
      <c r="K5" s="16" t="n"/>
      <c r="L5" s="15" t="inlineStr">
        <is>
          <t>Interview</t>
        </is>
      </c>
      <c r="M5" s="16" t="n">
        <v>46295</v>
      </c>
      <c r="N5" s="15" t="inlineStr">
        <is>
          <t>Planned participant; confirm when they reply</t>
        </is>
      </c>
    </row>
    <row r="6">
      <c r="A6" s="15" t="inlineStr">
        <is>
          <t>C05</t>
        </is>
      </c>
      <c r="B6" s="15" t="inlineStr">
        <is>
          <t>Facilitator 1</t>
        </is>
      </c>
      <c r="C6" s="15" t="inlineStr">
        <is>
          <t>G1</t>
        </is>
      </c>
      <c r="D6" s="15">
        <f>IF(C6="","",IFERROR(VLOOKUP(C6,Organisations!$A:$B,2,FALSE),""))</f>
        <v/>
      </c>
      <c r="E6" s="15" t="inlineStr">
        <is>
          <t>User</t>
        </is>
      </c>
      <c r="F6" s="15" t="inlineStr">
        <is>
          <t>Constrained</t>
        </is>
      </c>
      <c r="G6" s="15" t="inlineStr">
        <is>
          <t>No</t>
        </is>
      </c>
      <c r="H6" s="15" t="inlineStr">
        <is>
          <t>No</t>
        </is>
      </c>
      <c r="I6" s="15" t="inlineStr">
        <is>
          <t>P2</t>
        </is>
      </c>
      <c r="J6" s="16" t="n"/>
      <c r="K6" s="16" t="n"/>
      <c r="L6" s="15" t="inlineStr">
        <is>
          <t>Interview</t>
        </is>
      </c>
      <c r="M6" s="16" t="n">
        <v>46297</v>
      </c>
      <c r="N6" s="15" t="inlineStr">
        <is>
          <t>Planned participant; confirm when they reply</t>
        </is>
      </c>
    </row>
    <row r="7">
      <c r="A7" s="15" t="inlineStr">
        <is>
          <t>C06</t>
        </is>
      </c>
      <c r="B7" s="15" t="inlineStr">
        <is>
          <t>Facilitator 2</t>
        </is>
      </c>
      <c r="C7" s="15" t="inlineStr">
        <is>
          <t>G1</t>
        </is>
      </c>
      <c r="D7" s="15">
        <f>IF(C7="","",IFERROR(VLOOKUP(C7,Organisations!$A:$B,2,FALSE),""))</f>
        <v/>
      </c>
      <c r="E7" s="15" t="inlineStr">
        <is>
          <t>User</t>
        </is>
      </c>
      <c r="F7" s="15" t="inlineStr">
        <is>
          <t>Constrained</t>
        </is>
      </c>
      <c r="G7" s="15" t="inlineStr">
        <is>
          <t>No</t>
        </is>
      </c>
      <c r="H7" s="15" t="inlineStr">
        <is>
          <t>No</t>
        </is>
      </c>
      <c r="I7" s="15" t="inlineStr">
        <is>
          <t>P2</t>
        </is>
      </c>
      <c r="J7" s="16" t="n"/>
      <c r="K7" s="16" t="n"/>
      <c r="L7" s="15" t="inlineStr">
        <is>
          <t>Interview</t>
        </is>
      </c>
      <c r="M7" s="16" t="n">
        <v>46298</v>
      </c>
      <c r="N7" s="15" t="inlineStr">
        <is>
          <t>Planned participant; confirm when they reply</t>
        </is>
      </c>
    </row>
    <row r="8">
      <c r="A8" s="15" t="inlineStr">
        <is>
          <t>C07</t>
        </is>
      </c>
      <c r="B8" s="15" t="inlineStr">
        <is>
          <t>Librarian</t>
        </is>
      </c>
      <c r="C8" s="15" t="inlineStr">
        <is>
          <t>G3</t>
        </is>
      </c>
      <c r="D8" s="15">
        <f>IF(C8="","",IFERROR(VLOOKUP(C8,Organisations!$A:$B,2,FALSE),""))</f>
        <v/>
      </c>
      <c r="E8" s="15" t="inlineStr">
        <is>
          <t>Host</t>
        </is>
      </c>
      <c r="F8" s="15" t="inlineStr">
        <is>
          <t>Constrained</t>
        </is>
      </c>
      <c r="G8" s="15" t="inlineStr">
        <is>
          <t>No</t>
        </is>
      </c>
      <c r="H8" s="15" t="inlineStr">
        <is>
          <t>No</t>
        </is>
      </c>
      <c r="I8" s="15" t="inlineStr">
        <is>
          <t>P3</t>
        </is>
      </c>
      <c r="J8" s="16" t="n"/>
      <c r="K8" s="16" t="n"/>
      <c r="L8" s="15" t="inlineStr">
        <is>
          <t>Interview</t>
        </is>
      </c>
      <c r="M8" s="16" t="n">
        <v>46300</v>
      </c>
      <c r="N8" s="15" t="inlineStr">
        <is>
          <t>Planned participant; confirm when they reply</t>
        </is>
      </c>
    </row>
    <row r="9">
      <c r="A9" s="15" t="inlineStr">
        <is>
          <t>C08</t>
        </is>
      </c>
      <c r="B9" s="15" t="inlineStr">
        <is>
          <t>Library maker lead</t>
        </is>
      </c>
      <c r="C9" s="15" t="inlineStr">
        <is>
          <t>F1</t>
        </is>
      </c>
      <c r="D9" s="15">
        <f>IF(C9="","",IFERROR(VLOOKUP(C9,Organisations!$A:$B,2,FALSE),""))</f>
        <v/>
      </c>
      <c r="E9" s="15" t="inlineStr">
        <is>
          <t>User</t>
        </is>
      </c>
      <c r="F9" s="15" t="inlineStr">
        <is>
          <t>Tech-rich</t>
        </is>
      </c>
      <c r="G9" s="15" t="inlineStr">
        <is>
          <t>No</t>
        </is>
      </c>
      <c r="H9" s="15" t="inlineStr">
        <is>
          <t>No</t>
        </is>
      </c>
      <c r="I9" s="15" t="inlineStr">
        <is>
          <t>P4</t>
        </is>
      </c>
      <c r="J9" s="16" t="n"/>
      <c r="K9" s="16" t="n"/>
      <c r="L9" s="15" t="inlineStr">
        <is>
          <t>Interview</t>
        </is>
      </c>
      <c r="M9" s="16" t="n">
        <v>46300</v>
      </c>
      <c r="N9" s="15" t="inlineStr">
        <is>
          <t>Planned participant; confirm when they reply</t>
        </is>
      </c>
    </row>
    <row r="10">
      <c r="A10" s="15" t="inlineStr">
        <is>
          <t>C09</t>
        </is>
      </c>
      <c r="B10" s="15" t="inlineStr">
        <is>
          <t>Parent 2</t>
        </is>
      </c>
      <c r="C10" s="15" t="inlineStr">
        <is>
          <t>T3</t>
        </is>
      </c>
      <c r="D10" s="15">
        <f>IF(C10="","",IFERROR(VLOOKUP(C10,Organisations!$A:$B,2,FALSE),""))</f>
        <v/>
      </c>
      <c r="E10" s="15" t="inlineStr">
        <is>
          <t>Buyer</t>
        </is>
      </c>
      <c r="F10" s="15" t="inlineStr">
        <is>
          <t>Tech-rich</t>
        </is>
      </c>
      <c r="G10" s="15" t="inlineStr">
        <is>
          <t>No</t>
        </is>
      </c>
      <c r="H10" s="15" t="inlineStr">
        <is>
          <t>No</t>
        </is>
      </c>
      <c r="I10" s="15" t="inlineStr">
        <is>
          <t>R4</t>
        </is>
      </c>
      <c r="J10" s="16" t="n"/>
      <c r="K10" s="16" t="n"/>
      <c r="L10" s="15" t="inlineStr">
        <is>
          <t>Interview</t>
        </is>
      </c>
      <c r="M10" s="16" t="n">
        <v>46301</v>
      </c>
      <c r="N10" s="15" t="inlineStr">
        <is>
          <t>Planned participant; confirm when they reply</t>
        </is>
      </c>
    </row>
    <row r="11">
      <c r="A11" s="15" t="inlineStr">
        <is>
          <t>C10</t>
        </is>
      </c>
      <c r="B11" s="15" t="inlineStr">
        <is>
          <t>Researcher</t>
        </is>
      </c>
      <c r="C11" s="15" t="inlineStr">
        <is>
          <t>R1</t>
        </is>
      </c>
      <c r="D11" s="15">
        <f>IF(C11="","",IFERROR(VLOOKUP(C11,Organisations!$A:$B,2,FALSE),""))</f>
        <v/>
      </c>
      <c r="E11" s="15" t="inlineStr">
        <is>
          <t>Research</t>
        </is>
      </c>
      <c r="F11" s="15" t="inlineStr">
        <is>
          <t>Both</t>
        </is>
      </c>
      <c r="G11" s="15" t="inlineStr">
        <is>
          <t>No</t>
        </is>
      </c>
      <c r="H11" s="15" t="inlineStr">
        <is>
          <t>No</t>
        </is>
      </c>
      <c r="I11" s="15" t="inlineStr">
        <is>
          <t>P5</t>
        </is>
      </c>
      <c r="J11" s="16" t="n"/>
      <c r="K11" s="16" t="n"/>
      <c r="L11" s="15" t="inlineStr">
        <is>
          <t>Interview</t>
        </is>
      </c>
      <c r="M11" s="16" t="n">
        <v>46301</v>
      </c>
      <c r="N11" s="15" t="inlineStr">
        <is>
          <t>Planned participant; confirm when they reply</t>
        </is>
      </c>
    </row>
    <row r="12">
      <c r="D12">
        <f>IF(C12="","",IFERROR(VLOOKUP(C12,Organisations!$A:$B,2,FALSE),""))</f>
        <v/>
      </c>
    </row>
    <row r="13">
      <c r="D13">
        <f>IF(C13="","",IFERROR(VLOOKUP(C13,Organisations!$A:$B,2,FALSE),""))</f>
        <v/>
      </c>
    </row>
    <row r="14">
      <c r="D14">
        <f>IF(C14="","",IFERROR(VLOOKUP(C14,Organisations!$A:$B,2,FALSE),""))</f>
        <v/>
      </c>
    </row>
    <row r="15">
      <c r="D15">
        <f>IF(C15="","",IFERROR(VLOOKUP(C15,Organisations!$A:$B,2,FALSE),""))</f>
        <v/>
      </c>
    </row>
    <row r="16">
      <c r="D16">
        <f>IF(C16="","",IFERROR(VLOOKUP(C16,Organisations!$A:$B,2,FALSE),""))</f>
        <v/>
      </c>
    </row>
    <row r="17">
      <c r="D17">
        <f>IF(C17="","",IFERROR(VLOOKUP(C17,Organisations!$A:$B,2,FALSE),""))</f>
        <v/>
      </c>
    </row>
    <row r="18">
      <c r="D18">
        <f>IF(C18="","",IFERROR(VLOOKUP(C18,Organisations!$A:$B,2,FALSE),""))</f>
        <v/>
      </c>
    </row>
    <row r="19">
      <c r="D19">
        <f>IF(C19="","",IFERROR(VLOOKUP(C19,Organisations!$A:$B,2,FALSE),""))</f>
        <v/>
      </c>
    </row>
    <row r="20">
      <c r="D20">
        <f>IF(C20="","",IFERROR(VLOOKUP(C20,Organisations!$A:$B,2,FALSE),""))</f>
        <v/>
      </c>
    </row>
    <row r="21">
      <c r="D21">
        <f>IF(C21="","",IFERROR(VLOOKUP(C21,Organisations!$A:$B,2,FALSE),""))</f>
        <v/>
      </c>
    </row>
    <row r="22">
      <c r="D22">
        <f>IF(C22="","",IFERROR(VLOOKUP(C22,Organisations!$A:$B,2,FALSE),""))</f>
        <v/>
      </c>
    </row>
    <row r="23">
      <c r="D23">
        <f>IF(C23="","",IFERROR(VLOOKUP(C23,Organisations!$A:$B,2,FALSE),""))</f>
        <v/>
      </c>
    </row>
    <row r="24">
      <c r="D24">
        <f>IF(C24="","",IFERROR(VLOOKUP(C24,Organisations!$A:$B,2,FALSE),""))</f>
        <v/>
      </c>
    </row>
    <row r="25">
      <c r="D25">
        <f>IF(C25="","",IFERROR(VLOOKUP(C25,Organisations!$A:$B,2,FALSE),""))</f>
        <v/>
      </c>
    </row>
    <row r="26">
      <c r="D26">
        <f>IF(C26="","",IFERROR(VLOOKUP(C26,Organisations!$A:$B,2,FALSE),""))</f>
        <v/>
      </c>
    </row>
    <row r="27">
      <c r="D27">
        <f>IF(C27="","",IFERROR(VLOOKUP(C27,Organisations!$A:$B,2,FALSE),""))</f>
        <v/>
      </c>
    </row>
    <row r="28">
      <c r="D28">
        <f>IF(C28="","",IFERROR(VLOOKUP(C28,Organisations!$A:$B,2,FALSE),""))</f>
        <v/>
      </c>
    </row>
    <row r="29">
      <c r="D29">
        <f>IF(C29="","",IFERROR(VLOOKUP(C29,Organisations!$A:$B,2,FALSE),""))</f>
        <v/>
      </c>
    </row>
    <row r="30">
      <c r="D30">
        <f>IF(C30="","",IFERROR(VLOOKUP(C30,Organisations!$A:$B,2,FALSE),""))</f>
        <v/>
      </c>
    </row>
    <row r="31">
      <c r="D31">
        <f>IF(C31="","",IFERROR(VLOOKUP(C31,Organisations!$A:$B,2,FALSE),""))</f>
        <v/>
      </c>
    </row>
    <row r="32">
      <c r="D32">
        <f>IF(C32="","",IFERROR(VLOOKUP(C32,Organisations!$A:$B,2,FALSE),""))</f>
        <v/>
      </c>
    </row>
    <row r="33">
      <c r="D33">
        <f>IF(C33="","",IFERROR(VLOOKUP(C33,Organisations!$A:$B,2,FALSE),""))</f>
        <v/>
      </c>
    </row>
    <row r="34">
      <c r="D34">
        <f>IF(C34="","",IFERROR(VLOOKUP(C34,Organisations!$A:$B,2,FALSE),""))</f>
        <v/>
      </c>
    </row>
    <row r="35">
      <c r="D35">
        <f>IF(C35="","",IFERROR(VLOOKUP(C35,Organisations!$A:$B,2,FALSE),""))</f>
        <v/>
      </c>
    </row>
    <row r="36">
      <c r="D36">
        <f>IF(C36="","",IFERROR(VLOOKUP(C36,Organisations!$A:$B,2,FALSE),""))</f>
        <v/>
      </c>
    </row>
    <row r="37">
      <c r="D37">
        <f>IF(C37="","",IFERROR(VLOOKUP(C37,Organisations!$A:$B,2,FALSE),""))</f>
        <v/>
      </c>
    </row>
    <row r="38">
      <c r="D38">
        <f>IF(C38="","",IFERROR(VLOOKUP(C38,Organisations!$A:$B,2,FALSE),""))</f>
        <v/>
      </c>
    </row>
    <row r="39">
      <c r="D39">
        <f>IF(C39="","",IFERROR(VLOOKUP(C39,Organisations!$A:$B,2,FALSE),""))</f>
        <v/>
      </c>
    </row>
    <row r="40">
      <c r="D40">
        <f>IF(C40="","",IFERROR(VLOOKUP(C40,Organisations!$A:$B,2,FALSE),""))</f>
        <v/>
      </c>
    </row>
    <row r="41">
      <c r="D41">
        <f>IF(C41="","",IFERROR(VLOOKUP(C41,Organisations!$A:$B,2,FALSE),""))</f>
        <v/>
      </c>
    </row>
    <row r="42">
      <c r="D42">
        <f>IF(C42="","",IFERROR(VLOOKUP(C42,Organisations!$A:$B,2,FALSE),""))</f>
        <v/>
      </c>
    </row>
    <row r="43">
      <c r="D43">
        <f>IF(C43="","",IFERROR(VLOOKUP(C43,Organisations!$A:$B,2,FALSE),""))</f>
        <v/>
      </c>
    </row>
    <row r="44">
      <c r="D44">
        <f>IF(C44="","",IFERROR(VLOOKUP(C44,Organisations!$A:$B,2,FALSE),""))</f>
        <v/>
      </c>
    </row>
    <row r="45">
      <c r="D45">
        <f>IF(C45="","",IFERROR(VLOOKUP(C45,Organisations!$A:$B,2,FALSE),""))</f>
        <v/>
      </c>
    </row>
    <row r="46">
      <c r="D46">
        <f>IF(C46="","",IFERROR(VLOOKUP(C46,Organisations!$A:$B,2,FALSE),""))</f>
        <v/>
      </c>
    </row>
    <row r="47">
      <c r="D47">
        <f>IF(C47="","",IFERROR(VLOOKUP(C47,Organisations!$A:$B,2,FALSE),""))</f>
        <v/>
      </c>
    </row>
    <row r="48">
      <c r="D48">
        <f>IF(C48="","",IFERROR(VLOOKUP(C48,Organisations!$A:$B,2,FALSE),""))</f>
        <v/>
      </c>
    </row>
    <row r="49">
      <c r="D49">
        <f>IF(C49="","",IFERROR(VLOOKUP(C49,Organisations!$A:$B,2,FALSE),""))</f>
        <v/>
      </c>
    </row>
    <row r="50">
      <c r="D50">
        <f>IF(C50="","",IFERROR(VLOOKUP(C50,Organisations!$A:$B,2,FALSE),""))</f>
        <v/>
      </c>
    </row>
    <row r="51">
      <c r="D51">
        <f>IF(C51="","",IFERROR(VLOOKUP(C51,Organisations!$A:$B,2,FALSE),""))</f>
        <v/>
      </c>
    </row>
    <row r="52">
      <c r="D52">
        <f>IF(C52="","",IFERROR(VLOOKUP(C52,Organisations!$A:$B,2,FALSE),""))</f>
        <v/>
      </c>
    </row>
    <row r="53">
      <c r="D53">
        <f>IF(C53="","",IFERROR(VLOOKUP(C53,Organisations!$A:$B,2,FALSE),""))</f>
        <v/>
      </c>
    </row>
    <row r="54">
      <c r="D54">
        <f>IF(C54="","",IFERROR(VLOOKUP(C54,Organisations!$A:$B,2,FALSE),""))</f>
        <v/>
      </c>
    </row>
    <row r="55">
      <c r="D55">
        <f>IF(C55="","",IFERROR(VLOOKUP(C55,Organisations!$A:$B,2,FALSE),""))</f>
        <v/>
      </c>
    </row>
    <row r="56">
      <c r="D56">
        <f>IF(C56="","",IFERROR(VLOOKUP(C56,Organisations!$A:$B,2,FALSE),""))</f>
        <v/>
      </c>
    </row>
    <row r="57">
      <c r="D57">
        <f>IF(C57="","",IFERROR(VLOOKUP(C57,Organisations!$A:$B,2,FALSE),""))</f>
        <v/>
      </c>
    </row>
    <row r="58">
      <c r="D58">
        <f>IF(C58="","",IFERROR(VLOOKUP(C58,Organisations!$A:$B,2,FALSE),""))</f>
        <v/>
      </c>
    </row>
    <row r="59">
      <c r="D59">
        <f>IF(C59="","",IFERROR(VLOOKUP(C59,Organisations!$A:$B,2,FALSE),""))</f>
        <v/>
      </c>
    </row>
    <row r="60">
      <c r="D60">
        <f>IF(C60="","",IFERROR(VLOOKUP(C60,Organisations!$A:$B,2,FALSE),""))</f>
        <v/>
      </c>
    </row>
    <row r="61">
      <c r="D61">
        <f>IF(C61="","",IFERROR(VLOOKUP(C61,Organisations!$A:$B,2,FALSE),""))</f>
        <v/>
      </c>
    </row>
    <row r="62">
      <c r="D62">
        <f>IF(C62="","",IFERROR(VLOOKUP(C62,Organisations!$A:$B,2,FALSE),""))</f>
        <v/>
      </c>
    </row>
    <row r="63">
      <c r="D63">
        <f>IF(C63="","",IFERROR(VLOOKUP(C63,Organisations!$A:$B,2,FALSE),""))</f>
        <v/>
      </c>
    </row>
    <row r="64">
      <c r="D64">
        <f>IF(C64="","",IFERROR(VLOOKUP(C64,Organisations!$A:$B,2,FALSE),""))</f>
        <v/>
      </c>
    </row>
    <row r="65">
      <c r="D65">
        <f>IF(C65="","",IFERROR(VLOOKUP(C65,Organisations!$A:$B,2,FALSE),""))</f>
        <v/>
      </c>
    </row>
    <row r="66">
      <c r="D66">
        <f>IF(C66="","",IFERROR(VLOOKUP(C66,Organisations!$A:$B,2,FALSE),""))</f>
        <v/>
      </c>
    </row>
    <row r="67">
      <c r="D67">
        <f>IF(C67="","",IFERROR(VLOOKUP(C67,Organisations!$A:$B,2,FALSE),""))</f>
        <v/>
      </c>
    </row>
    <row r="68">
      <c r="D68">
        <f>IF(C68="","",IFERROR(VLOOKUP(C68,Organisations!$A:$B,2,FALSE),""))</f>
        <v/>
      </c>
    </row>
    <row r="69">
      <c r="D69">
        <f>IF(C69="","",IFERROR(VLOOKUP(C69,Organisations!$A:$B,2,FALSE),""))</f>
        <v/>
      </c>
    </row>
    <row r="70">
      <c r="D70">
        <f>IF(C70="","",IFERROR(VLOOKUP(C70,Organisations!$A:$B,2,FALSE),""))</f>
        <v/>
      </c>
    </row>
    <row r="71">
      <c r="D71">
        <f>IF(C71="","",IFERROR(VLOOKUP(C71,Organisations!$A:$B,2,FALSE),""))</f>
        <v/>
      </c>
    </row>
    <row r="72">
      <c r="D72">
        <f>IF(C72="","",IFERROR(VLOOKUP(C72,Organisations!$A:$B,2,FALSE),""))</f>
        <v/>
      </c>
    </row>
    <row r="73">
      <c r="D73">
        <f>IF(C73="","",IFERROR(VLOOKUP(C73,Organisations!$A:$B,2,FALSE),""))</f>
        <v/>
      </c>
    </row>
    <row r="74">
      <c r="D74">
        <f>IF(C74="","",IFERROR(VLOOKUP(C74,Organisations!$A:$B,2,FALSE),""))</f>
        <v/>
      </c>
    </row>
    <row r="75">
      <c r="D75">
        <f>IF(C75="","",IFERROR(VLOOKUP(C75,Organisations!$A:$B,2,FALSE),""))</f>
        <v/>
      </c>
    </row>
    <row r="76">
      <c r="D76">
        <f>IF(C76="","",IFERROR(VLOOKUP(C76,Organisations!$A:$B,2,FALSE),""))</f>
        <v/>
      </c>
    </row>
    <row r="77">
      <c r="D77">
        <f>IF(C77="","",IFERROR(VLOOKUP(C77,Organisations!$A:$B,2,FALSE),""))</f>
        <v/>
      </c>
    </row>
    <row r="78">
      <c r="D78">
        <f>IF(C78="","",IFERROR(VLOOKUP(C78,Organisations!$A:$B,2,FALSE),""))</f>
        <v/>
      </c>
    </row>
    <row r="79">
      <c r="D79">
        <f>IF(C79="","",IFERROR(VLOOKUP(C79,Organisations!$A:$B,2,FALSE),""))</f>
        <v/>
      </c>
    </row>
    <row r="80">
      <c r="D80">
        <f>IF(C80="","",IFERROR(VLOOKUP(C80,Organisations!$A:$B,2,FALSE),""))</f>
        <v/>
      </c>
    </row>
    <row r="81">
      <c r="D81">
        <f>IF(C81="","",IFERROR(VLOOKUP(C81,Organisations!$A:$B,2,FALSE),""))</f>
        <v/>
      </c>
    </row>
    <row r="82">
      <c r="D82">
        <f>IF(C82="","",IFERROR(VLOOKUP(C82,Organisations!$A:$B,2,FALSE),""))</f>
        <v/>
      </c>
    </row>
    <row r="83">
      <c r="D83">
        <f>IF(C83="","",IFERROR(VLOOKUP(C83,Organisations!$A:$B,2,FALSE),""))</f>
        <v/>
      </c>
    </row>
    <row r="84">
      <c r="D84">
        <f>IF(C84="","",IFERROR(VLOOKUP(C84,Organisations!$A:$B,2,FALSE),""))</f>
        <v/>
      </c>
    </row>
    <row r="85">
      <c r="D85">
        <f>IF(C85="","",IFERROR(VLOOKUP(C85,Organisations!$A:$B,2,FALSE),""))</f>
        <v/>
      </c>
    </row>
    <row r="86">
      <c r="D86">
        <f>IF(C86="","",IFERROR(VLOOKUP(C86,Organisations!$A:$B,2,FALSE),""))</f>
        <v/>
      </c>
    </row>
    <row r="87">
      <c r="D87">
        <f>IF(C87="","",IFERROR(VLOOKUP(C87,Organisations!$A:$B,2,FALSE),""))</f>
        <v/>
      </c>
    </row>
    <row r="88">
      <c r="D88">
        <f>IF(C88="","",IFERROR(VLOOKUP(C88,Organisations!$A:$B,2,FALSE),""))</f>
        <v/>
      </c>
    </row>
    <row r="89">
      <c r="D89">
        <f>IF(C89="","",IFERROR(VLOOKUP(C89,Organisations!$A:$B,2,FALSE),""))</f>
        <v/>
      </c>
    </row>
    <row r="90">
      <c r="D90">
        <f>IF(C90="","",IFERROR(VLOOKUP(C90,Organisations!$A:$B,2,FALSE),""))</f>
        <v/>
      </c>
    </row>
    <row r="91">
      <c r="D91">
        <f>IF(C91="","",IFERROR(VLOOKUP(C91,Organisations!$A:$B,2,FALSE),""))</f>
        <v/>
      </c>
    </row>
    <row r="92">
      <c r="D92">
        <f>IF(C92="","",IFERROR(VLOOKUP(C92,Organisations!$A:$B,2,FALSE),""))</f>
        <v/>
      </c>
    </row>
    <row r="93">
      <c r="D93">
        <f>IF(C93="","",IFERROR(VLOOKUP(C93,Organisations!$A:$B,2,FALSE),""))</f>
        <v/>
      </c>
    </row>
    <row r="94">
      <c r="D94">
        <f>IF(C94="","",IFERROR(VLOOKUP(C94,Organisations!$A:$B,2,FALSE),""))</f>
        <v/>
      </c>
    </row>
    <row r="95">
      <c r="D95">
        <f>IF(C95="","",IFERROR(VLOOKUP(C95,Organisations!$A:$B,2,FALSE),""))</f>
        <v/>
      </c>
    </row>
    <row r="96">
      <c r="D96">
        <f>IF(C96="","",IFERROR(VLOOKUP(C96,Organisations!$A:$B,2,FALSE),""))</f>
        <v/>
      </c>
    </row>
    <row r="97">
      <c r="D97">
        <f>IF(C97="","",IFERROR(VLOOKUP(C97,Organisations!$A:$B,2,FALSE),""))</f>
        <v/>
      </c>
    </row>
    <row r="98">
      <c r="D98">
        <f>IF(C98="","",IFERROR(VLOOKUP(C98,Organisations!$A:$B,2,FALSE),""))</f>
        <v/>
      </c>
    </row>
    <row r="99">
      <c r="D99">
        <f>IF(C99="","",IFERROR(VLOOKUP(C99,Organisations!$A:$B,2,FALSE),""))</f>
        <v/>
      </c>
    </row>
    <row r="100">
      <c r="D100">
        <f>IF(C100="","",IFERROR(VLOOKUP(C100,Organisations!$A:$B,2,FALSE),""))</f>
        <v/>
      </c>
    </row>
    <row r="101">
      <c r="D101">
        <f>IF(C101="","",IFERROR(VLOOKUP(C101,Organisations!$A:$B,2,FALSE),""))</f>
        <v/>
      </c>
    </row>
    <row r="102">
      <c r="D102">
        <f>IF(C102="","",IFERROR(VLOOKUP(C102,Organisations!$A:$B,2,FALSE),""))</f>
        <v/>
      </c>
    </row>
    <row r="103">
      <c r="D103">
        <f>IF(C103="","",IFERROR(VLOOKUP(C103,Organisations!$A:$B,2,FALSE),""))</f>
        <v/>
      </c>
    </row>
    <row r="104">
      <c r="D104">
        <f>IF(C104="","",IFERROR(VLOOKUP(C104,Organisations!$A:$B,2,FALSE),""))</f>
        <v/>
      </c>
    </row>
    <row r="105">
      <c r="D105">
        <f>IF(C105="","",IFERROR(VLOOKUP(C105,Organisations!$A:$B,2,FALSE),""))</f>
        <v/>
      </c>
    </row>
    <row r="106">
      <c r="D106">
        <f>IF(C106="","",IFERROR(VLOOKUP(C106,Organisations!$A:$B,2,FALSE),""))</f>
        <v/>
      </c>
    </row>
    <row r="107">
      <c r="D107">
        <f>IF(C107="","",IFERROR(VLOOKUP(C107,Organisations!$A:$B,2,FALSE),""))</f>
        <v/>
      </c>
    </row>
    <row r="108">
      <c r="D108">
        <f>IF(C108="","",IFERROR(VLOOKUP(C108,Organisations!$A:$B,2,FALSE),""))</f>
        <v/>
      </c>
    </row>
    <row r="109">
      <c r="D109">
        <f>IF(C109="","",IFERROR(VLOOKUP(C109,Organisations!$A:$B,2,FALSE),""))</f>
        <v/>
      </c>
    </row>
    <row r="110">
      <c r="D110">
        <f>IF(C110="","",IFERROR(VLOOKUP(C110,Organisations!$A:$B,2,FALSE),""))</f>
        <v/>
      </c>
    </row>
    <row r="111">
      <c r="D111">
        <f>IF(C111="","",IFERROR(VLOOKUP(C111,Organisations!$A:$B,2,FALSE),""))</f>
        <v/>
      </c>
    </row>
    <row r="112">
      <c r="D112">
        <f>IF(C112="","",IFERROR(VLOOKUP(C112,Organisations!$A:$B,2,FALSE),""))</f>
        <v/>
      </c>
    </row>
    <row r="113">
      <c r="D113">
        <f>IF(C113="","",IFERROR(VLOOKUP(C113,Organisations!$A:$B,2,FALSE),""))</f>
        <v/>
      </c>
    </row>
    <row r="114">
      <c r="D114">
        <f>IF(C114="","",IFERROR(VLOOKUP(C114,Organisations!$A:$B,2,FALSE),""))</f>
        <v/>
      </c>
    </row>
    <row r="115">
      <c r="D115">
        <f>IF(C115="","",IFERROR(VLOOKUP(C115,Organisations!$A:$B,2,FALSE),""))</f>
        <v/>
      </c>
    </row>
    <row r="116">
      <c r="D116">
        <f>IF(C116="","",IFERROR(VLOOKUP(C116,Organisations!$A:$B,2,FALSE),""))</f>
        <v/>
      </c>
    </row>
    <row r="117">
      <c r="D117">
        <f>IF(C117="","",IFERROR(VLOOKUP(C117,Organisations!$A:$B,2,FALSE),""))</f>
        <v/>
      </c>
    </row>
    <row r="118">
      <c r="D118">
        <f>IF(C118="","",IFERROR(VLOOKUP(C118,Organisations!$A:$B,2,FALSE),""))</f>
        <v/>
      </c>
    </row>
    <row r="119">
      <c r="D119">
        <f>IF(C119="","",IFERROR(VLOOKUP(C119,Organisations!$A:$B,2,FALSE),""))</f>
        <v/>
      </c>
    </row>
    <row r="120">
      <c r="D120">
        <f>IF(C120="","",IFERROR(VLOOKUP(C120,Organisations!$A:$B,2,FALSE),""))</f>
        <v/>
      </c>
    </row>
    <row r="121">
      <c r="D121">
        <f>IF(C121="","",IFERROR(VLOOKUP(C121,Organisations!$A:$B,2,FALSE),""))</f>
        <v/>
      </c>
    </row>
    <row r="122">
      <c r="D122">
        <f>IF(C122="","",IFERROR(VLOOKUP(C122,Organisations!$A:$B,2,FALSE),""))</f>
        <v/>
      </c>
    </row>
    <row r="123">
      <c r="D123">
        <f>IF(C123="","",IFERROR(VLOOKUP(C123,Organisations!$A:$B,2,FALSE),""))</f>
        <v/>
      </c>
    </row>
    <row r="124">
      <c r="D124">
        <f>IF(C124="","",IFERROR(VLOOKUP(C124,Organisations!$A:$B,2,FALSE),""))</f>
        <v/>
      </c>
    </row>
    <row r="125">
      <c r="D125">
        <f>IF(C125="","",IFERROR(VLOOKUP(C125,Organisations!$A:$B,2,FALSE),""))</f>
        <v/>
      </c>
    </row>
    <row r="126">
      <c r="D126">
        <f>IF(C126="","",IFERROR(VLOOKUP(C126,Organisations!$A:$B,2,FALSE),""))</f>
        <v/>
      </c>
    </row>
    <row r="127">
      <c r="D127">
        <f>IF(C127="","",IFERROR(VLOOKUP(C127,Organisations!$A:$B,2,FALSE),""))</f>
        <v/>
      </c>
    </row>
    <row r="128">
      <c r="D128">
        <f>IF(C128="","",IFERROR(VLOOKUP(C128,Organisations!$A:$B,2,FALSE),""))</f>
        <v/>
      </c>
    </row>
    <row r="129">
      <c r="D129">
        <f>IF(C129="","",IFERROR(VLOOKUP(C129,Organisations!$A:$B,2,FALSE),""))</f>
        <v/>
      </c>
    </row>
    <row r="130">
      <c r="D130">
        <f>IF(C130="","",IFERROR(VLOOKUP(C130,Organisations!$A:$B,2,FALSE),""))</f>
        <v/>
      </c>
    </row>
    <row r="131">
      <c r="D131">
        <f>IF(C131="","",IFERROR(VLOOKUP(C131,Organisations!$A:$B,2,FALSE),""))</f>
        <v/>
      </c>
    </row>
    <row r="132">
      <c r="D132">
        <f>IF(C132="","",IFERROR(VLOOKUP(C132,Organisations!$A:$B,2,FALSE),""))</f>
        <v/>
      </c>
    </row>
    <row r="133">
      <c r="D133">
        <f>IF(C133="","",IFERROR(VLOOKUP(C133,Organisations!$A:$B,2,FALSE),""))</f>
        <v/>
      </c>
    </row>
    <row r="134">
      <c r="D134">
        <f>IF(C134="","",IFERROR(VLOOKUP(C134,Organisations!$A:$B,2,FALSE),""))</f>
        <v/>
      </c>
    </row>
    <row r="135">
      <c r="D135">
        <f>IF(C135="","",IFERROR(VLOOKUP(C135,Organisations!$A:$B,2,FALSE),""))</f>
        <v/>
      </c>
    </row>
    <row r="136">
      <c r="D136">
        <f>IF(C136="","",IFERROR(VLOOKUP(C136,Organisations!$A:$B,2,FALSE),""))</f>
        <v/>
      </c>
    </row>
    <row r="137">
      <c r="D137">
        <f>IF(C137="","",IFERROR(VLOOKUP(C137,Organisations!$A:$B,2,FALSE),""))</f>
        <v/>
      </c>
    </row>
    <row r="138">
      <c r="D138">
        <f>IF(C138="","",IFERROR(VLOOKUP(C138,Organisations!$A:$B,2,FALSE),""))</f>
        <v/>
      </c>
    </row>
    <row r="139">
      <c r="D139">
        <f>IF(C139="","",IFERROR(VLOOKUP(C139,Organisations!$A:$B,2,FALSE),""))</f>
        <v/>
      </c>
    </row>
    <row r="140">
      <c r="D140">
        <f>IF(C140="","",IFERROR(VLOOKUP(C140,Organisations!$A:$B,2,FALSE),""))</f>
        <v/>
      </c>
    </row>
    <row r="141">
      <c r="D141">
        <f>IF(C141="","",IFERROR(VLOOKUP(C141,Organisations!$A:$B,2,FALSE),""))</f>
        <v/>
      </c>
    </row>
    <row r="142">
      <c r="D142">
        <f>IF(C142="","",IFERROR(VLOOKUP(C142,Organisations!$A:$B,2,FALSE),""))</f>
        <v/>
      </c>
    </row>
    <row r="143">
      <c r="D143">
        <f>IF(C143="","",IFERROR(VLOOKUP(C143,Organisations!$A:$B,2,FALSE),""))</f>
        <v/>
      </c>
    </row>
    <row r="144">
      <c r="D144">
        <f>IF(C144="","",IFERROR(VLOOKUP(C144,Organisations!$A:$B,2,FALSE),""))</f>
        <v/>
      </c>
    </row>
    <row r="145">
      <c r="D145">
        <f>IF(C145="","",IFERROR(VLOOKUP(C145,Organisations!$A:$B,2,FALSE),""))</f>
        <v/>
      </c>
    </row>
    <row r="146">
      <c r="D146">
        <f>IF(C146="","",IFERROR(VLOOKUP(C146,Organisations!$A:$B,2,FALSE),""))</f>
        <v/>
      </c>
    </row>
    <row r="147">
      <c r="D147">
        <f>IF(C147="","",IFERROR(VLOOKUP(C147,Organisations!$A:$B,2,FALSE),""))</f>
        <v/>
      </c>
    </row>
    <row r="148">
      <c r="D148">
        <f>IF(C148="","",IFERROR(VLOOKUP(C148,Organisations!$A:$B,2,FALSE),""))</f>
        <v/>
      </c>
    </row>
    <row r="149">
      <c r="D149">
        <f>IF(C149="","",IFERROR(VLOOKUP(C149,Organisations!$A:$B,2,FALSE),""))</f>
        <v/>
      </c>
    </row>
    <row r="150">
      <c r="D150">
        <f>IF(C150="","",IFERROR(VLOOKUP(C150,Organisations!$A:$B,2,FALSE),""))</f>
        <v/>
      </c>
    </row>
    <row r="151">
      <c r="D151">
        <f>IF(C151="","",IFERROR(VLOOKUP(C151,Organisations!$A:$B,2,FALSE),""))</f>
        <v/>
      </c>
    </row>
    <row r="152">
      <c r="D152">
        <f>IF(C152="","",IFERROR(VLOOKUP(C152,Organisations!$A:$B,2,FALSE),""))</f>
        <v/>
      </c>
    </row>
    <row r="153">
      <c r="D153">
        <f>IF(C153="","",IFERROR(VLOOKUP(C153,Organisations!$A:$B,2,FALSE),""))</f>
        <v/>
      </c>
    </row>
    <row r="154">
      <c r="D154">
        <f>IF(C154="","",IFERROR(VLOOKUP(C154,Organisations!$A:$B,2,FALSE),""))</f>
        <v/>
      </c>
    </row>
    <row r="155">
      <c r="D155">
        <f>IF(C155="","",IFERROR(VLOOKUP(C155,Organisations!$A:$B,2,FALSE),""))</f>
        <v/>
      </c>
    </row>
    <row r="156">
      <c r="D156">
        <f>IF(C156="","",IFERROR(VLOOKUP(C156,Organisations!$A:$B,2,FALSE),""))</f>
        <v/>
      </c>
    </row>
    <row r="157">
      <c r="D157">
        <f>IF(C157="","",IFERROR(VLOOKUP(C157,Organisations!$A:$B,2,FALSE),""))</f>
        <v/>
      </c>
    </row>
    <row r="158">
      <c r="D158">
        <f>IF(C158="","",IFERROR(VLOOKUP(C158,Organisations!$A:$B,2,FALSE),""))</f>
        <v/>
      </c>
    </row>
    <row r="159">
      <c r="D159">
        <f>IF(C159="","",IFERROR(VLOOKUP(C159,Organisations!$A:$B,2,FALSE),""))</f>
        <v/>
      </c>
    </row>
    <row r="160">
      <c r="D160">
        <f>IF(C160="","",IFERROR(VLOOKUP(C160,Organisations!$A:$B,2,FALSE),""))</f>
        <v/>
      </c>
    </row>
    <row r="161">
      <c r="D161">
        <f>IF(C161="","",IFERROR(VLOOKUP(C161,Organisations!$A:$B,2,FALSE),""))</f>
        <v/>
      </c>
    </row>
    <row r="162">
      <c r="D162">
        <f>IF(C162="","",IFERROR(VLOOKUP(C162,Organisations!$A:$B,2,FALSE),""))</f>
        <v/>
      </c>
    </row>
    <row r="163">
      <c r="D163">
        <f>IF(C163="","",IFERROR(VLOOKUP(C163,Organisations!$A:$B,2,FALSE),""))</f>
        <v/>
      </c>
    </row>
    <row r="164">
      <c r="D164">
        <f>IF(C164="","",IFERROR(VLOOKUP(C164,Organisations!$A:$B,2,FALSE),""))</f>
        <v/>
      </c>
    </row>
    <row r="165">
      <c r="D165">
        <f>IF(C165="","",IFERROR(VLOOKUP(C165,Organisations!$A:$B,2,FALSE),""))</f>
        <v/>
      </c>
    </row>
    <row r="166">
      <c r="D166">
        <f>IF(C166="","",IFERROR(VLOOKUP(C166,Organisations!$A:$B,2,FALSE),""))</f>
        <v/>
      </c>
    </row>
    <row r="167">
      <c r="D167">
        <f>IF(C167="","",IFERROR(VLOOKUP(C167,Organisations!$A:$B,2,FALSE),""))</f>
        <v/>
      </c>
    </row>
    <row r="168">
      <c r="D168">
        <f>IF(C168="","",IFERROR(VLOOKUP(C168,Organisations!$A:$B,2,FALSE),""))</f>
        <v/>
      </c>
    </row>
    <row r="169">
      <c r="D169">
        <f>IF(C169="","",IFERROR(VLOOKUP(C169,Organisations!$A:$B,2,FALSE),""))</f>
        <v/>
      </c>
    </row>
    <row r="170">
      <c r="D170">
        <f>IF(C170="","",IFERROR(VLOOKUP(C170,Organisations!$A:$B,2,FALSE),""))</f>
        <v/>
      </c>
    </row>
    <row r="171">
      <c r="D171">
        <f>IF(C171="","",IFERROR(VLOOKUP(C171,Organisations!$A:$B,2,FALSE),""))</f>
        <v/>
      </c>
    </row>
    <row r="172">
      <c r="D172">
        <f>IF(C172="","",IFERROR(VLOOKUP(C172,Organisations!$A:$B,2,FALSE),""))</f>
        <v/>
      </c>
    </row>
    <row r="173">
      <c r="D173">
        <f>IF(C173="","",IFERROR(VLOOKUP(C173,Organisations!$A:$B,2,FALSE),""))</f>
        <v/>
      </c>
    </row>
    <row r="174">
      <c r="D174">
        <f>IF(C174="","",IFERROR(VLOOKUP(C174,Organisations!$A:$B,2,FALSE),""))</f>
        <v/>
      </c>
    </row>
    <row r="175">
      <c r="D175">
        <f>IF(C175="","",IFERROR(VLOOKUP(C175,Organisations!$A:$B,2,FALSE),""))</f>
        <v/>
      </c>
    </row>
    <row r="176">
      <c r="D176">
        <f>IF(C176="","",IFERROR(VLOOKUP(C176,Organisations!$A:$B,2,FALSE),""))</f>
        <v/>
      </c>
    </row>
    <row r="177">
      <c r="D177">
        <f>IF(C177="","",IFERROR(VLOOKUP(C177,Organisations!$A:$B,2,FALSE),""))</f>
        <v/>
      </c>
    </row>
    <row r="178">
      <c r="D178">
        <f>IF(C178="","",IFERROR(VLOOKUP(C178,Organisations!$A:$B,2,FALSE),""))</f>
        <v/>
      </c>
    </row>
    <row r="179">
      <c r="D179">
        <f>IF(C179="","",IFERROR(VLOOKUP(C179,Organisations!$A:$B,2,FALSE),""))</f>
        <v/>
      </c>
    </row>
    <row r="180">
      <c r="D180">
        <f>IF(C180="","",IFERROR(VLOOKUP(C180,Organisations!$A:$B,2,FALSE),""))</f>
        <v/>
      </c>
    </row>
    <row r="181">
      <c r="D181">
        <f>IF(C181="","",IFERROR(VLOOKUP(C181,Organisations!$A:$B,2,FALSE),""))</f>
        <v/>
      </c>
    </row>
    <row r="182">
      <c r="D182">
        <f>IF(C182="","",IFERROR(VLOOKUP(C182,Organisations!$A:$B,2,FALSE),""))</f>
        <v/>
      </c>
    </row>
    <row r="183">
      <c r="D183">
        <f>IF(C183="","",IFERROR(VLOOKUP(C183,Organisations!$A:$B,2,FALSE),""))</f>
        <v/>
      </c>
    </row>
    <row r="184">
      <c r="D184">
        <f>IF(C184="","",IFERROR(VLOOKUP(C184,Organisations!$A:$B,2,FALSE),""))</f>
        <v/>
      </c>
    </row>
    <row r="185">
      <c r="D185">
        <f>IF(C185="","",IFERROR(VLOOKUP(C185,Organisations!$A:$B,2,FALSE),""))</f>
        <v/>
      </c>
    </row>
    <row r="186">
      <c r="D186">
        <f>IF(C186="","",IFERROR(VLOOKUP(C186,Organisations!$A:$B,2,FALSE),""))</f>
        <v/>
      </c>
    </row>
    <row r="187">
      <c r="D187">
        <f>IF(C187="","",IFERROR(VLOOKUP(C187,Organisations!$A:$B,2,FALSE),""))</f>
        <v/>
      </c>
    </row>
    <row r="188">
      <c r="D188">
        <f>IF(C188="","",IFERROR(VLOOKUP(C188,Organisations!$A:$B,2,FALSE),""))</f>
        <v/>
      </c>
    </row>
    <row r="189">
      <c r="D189">
        <f>IF(C189="","",IFERROR(VLOOKUP(C189,Organisations!$A:$B,2,FALSE),""))</f>
        <v/>
      </c>
    </row>
    <row r="190">
      <c r="D190">
        <f>IF(C190="","",IFERROR(VLOOKUP(C190,Organisations!$A:$B,2,FALSE),""))</f>
        <v/>
      </c>
    </row>
    <row r="191">
      <c r="D191">
        <f>IF(C191="","",IFERROR(VLOOKUP(C191,Organisations!$A:$B,2,FALSE),""))</f>
        <v/>
      </c>
    </row>
    <row r="192">
      <c r="D192">
        <f>IF(C192="","",IFERROR(VLOOKUP(C192,Organisations!$A:$B,2,FALSE),""))</f>
        <v/>
      </c>
    </row>
    <row r="193">
      <c r="D193">
        <f>IF(C193="","",IFERROR(VLOOKUP(C193,Organisations!$A:$B,2,FALSE),""))</f>
        <v/>
      </c>
    </row>
    <row r="194">
      <c r="D194">
        <f>IF(C194="","",IFERROR(VLOOKUP(C194,Organisations!$A:$B,2,FALSE),""))</f>
        <v/>
      </c>
    </row>
    <row r="195">
      <c r="D195">
        <f>IF(C195="","",IFERROR(VLOOKUP(C195,Organisations!$A:$B,2,FALSE),""))</f>
        <v/>
      </c>
    </row>
    <row r="196">
      <c r="D196">
        <f>IF(C196="","",IFERROR(VLOOKUP(C196,Organisations!$A:$B,2,FALSE),""))</f>
        <v/>
      </c>
    </row>
    <row r="197">
      <c r="D197">
        <f>IF(C197="","",IFERROR(VLOOKUP(C197,Organisations!$A:$B,2,FALSE),""))</f>
        <v/>
      </c>
    </row>
    <row r="198">
      <c r="D198">
        <f>IF(C198="","",IFERROR(VLOOKUP(C198,Organisations!$A:$B,2,FALSE),""))</f>
        <v/>
      </c>
    </row>
    <row r="199">
      <c r="D199">
        <f>IF(C199="","",IFERROR(VLOOKUP(C199,Organisations!$A:$B,2,FALSE),""))</f>
        <v/>
      </c>
    </row>
    <row r="200">
      <c r="D200">
        <f>IF(C200="","",IFERROR(VLOOKUP(C200,Organisations!$A:$B,2,FALSE),""))</f>
        <v/>
      </c>
    </row>
  </sheetData>
  <dataValidations count="4">
    <dataValidation sqref="E2:E200" showDropDown="0" showInputMessage="0" showErrorMessage="0" allowBlank="1" type="list">
      <formula1>"Buyer,User,Host,Research"</formula1>
    </dataValidation>
    <dataValidation sqref="F2:F200" showDropDown="0" showInputMessage="0" showErrorMessage="0" allowBlank="1" type="list">
      <formula1>"Constrained,Tech-rich,Both"</formula1>
    </dataValidation>
    <dataValidation sqref="G2:G200" showDropDown="0" showInputMessage="0" showErrorMessage="0" allowBlank="1" type="list">
      <formula1>"Yes,No"</formula1>
    </dataValidation>
    <dataValidation sqref="H2:H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1C778"/>
    <outlinePr summaryBelow="1" summaryRight="1"/>
    <pageSetUpPr/>
  </sheetPr>
  <dimension ref="A1:Z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0" customWidth="1" min="4" max="4"/>
    <col width="12" customWidth="1" min="5" max="5"/>
    <col width="16" customWidth="1" min="6" max="6"/>
    <col width="14" customWidth="1" min="7" max="7"/>
    <col width="12" customWidth="1" min="8" max="8"/>
    <col width="14" customWidth="1" min="9" max="9"/>
    <col width="8" customWidth="1" min="10" max="10"/>
    <col width="9" customWidth="1" min="11" max="11"/>
    <col width="34" customWidth="1" min="12" max="12"/>
    <col width="24" customWidth="1" min="13" max="13"/>
    <col width="24" customWidth="1" min="14" max="14"/>
    <col width="12" customWidth="1" min="15" max="15"/>
    <col width="16" customWidth="1" min="16" max="16"/>
    <col width="20" customWidth="1" min="17" max="17"/>
    <col width="16" customWidth="1" min="18" max="18"/>
    <col width="24" customWidth="1" min="19" max="19"/>
    <col width="2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26" customWidth="1" min="26" max="26"/>
  </cols>
  <sheetData>
    <row r="1" ht="32" customHeight="1">
      <c r="A1" s="14" t="inlineStr">
        <is>
          <t>Interview ID</t>
        </is>
      </c>
      <c r="B1" s="14" t="inlineStr">
        <is>
          <t>Contact ID</t>
        </is>
      </c>
      <c r="C1" s="14" t="inlineStr">
        <is>
          <t>Participant</t>
        </is>
      </c>
      <c r="D1" s="14" t="inlineStr">
        <is>
          <t>Role</t>
        </is>
      </c>
      <c r="E1" s="14" t="inlineStr">
        <is>
          <t>Setting</t>
        </is>
      </c>
      <c r="F1" s="14" t="inlineStr">
        <is>
          <t>Channel</t>
        </is>
      </c>
      <c r="G1" s="14" t="inlineStr">
        <is>
          <t>Target date</t>
        </is>
      </c>
      <c r="H1" s="14" t="inlineStr">
        <is>
          <t>Status</t>
        </is>
      </c>
      <c r="I1" s="14" t="inlineStr">
        <is>
          <t>Done date</t>
        </is>
      </c>
      <c r="J1" s="14" t="inlineStr">
        <is>
          <t>Minutes</t>
        </is>
      </c>
      <c r="K1" s="14" t="inlineStr">
        <is>
          <t>Consent?</t>
        </is>
      </c>
      <c r="L1" s="14" t="inlineStr">
        <is>
          <t>Recent problem (their words)</t>
        </is>
      </c>
      <c r="M1" s="14" t="inlineStr">
        <is>
          <t>Workaround</t>
        </is>
      </c>
      <c r="N1" s="14" t="inlineStr">
        <is>
          <t>Consequence</t>
        </is>
      </c>
      <c r="O1" s="14" t="inlineStr">
        <is>
          <t>How often</t>
        </is>
      </c>
      <c r="P1" s="14" t="inlineStr">
        <is>
          <t>Who buys</t>
        </is>
      </c>
      <c r="Q1" s="14" t="inlineStr">
        <is>
          <t>Budget process</t>
        </is>
      </c>
      <c r="R1" s="14" t="inlineStr">
        <is>
          <t>Existing spend</t>
        </is>
      </c>
      <c r="S1" s="14" t="inlineStr">
        <is>
          <t>Offer response</t>
        </is>
      </c>
      <c r="T1" s="14" t="inlineStr">
        <is>
          <t>Next step</t>
        </is>
      </c>
      <c r="U1" s="14" t="inlineStr">
        <is>
          <t>P1 Can't tell if skill transfers</t>
        </is>
      </c>
      <c r="V1" s="14" t="inlineStr">
        <is>
          <t>P2 Stops without key facilitator</t>
        </is>
      </c>
      <c r="W1" s="14" t="inlineStr">
        <is>
          <t>P3 Prep time too high</t>
        </is>
      </c>
      <c r="X1" s="14" t="inlineStr">
        <is>
          <t>P4 Hard to show families progress</t>
        </is>
      </c>
      <c r="Y1" s="14" t="inlineStr">
        <is>
          <t>P5 No budget route</t>
        </is>
      </c>
      <c r="Z1" s="14" t="inlineStr">
        <is>
          <t>Notes / screenshot link</t>
        </is>
      </c>
    </row>
    <row r="2">
      <c r="A2" s="15" t="inlineStr">
        <is>
          <t>I01</t>
        </is>
      </c>
      <c r="B2" s="15" t="inlineStr">
        <is>
          <t>C01</t>
        </is>
      </c>
      <c r="C2" s="15" t="inlineStr">
        <is>
          <t>Owner 1</t>
        </is>
      </c>
      <c r="D2" s="15" t="inlineStr">
        <is>
          <t>Buyer</t>
        </is>
      </c>
      <c r="E2" s="15" t="inlineStr">
        <is>
          <t>Constrained</t>
        </is>
      </c>
      <c r="F2" s="15" t="inlineStr">
        <is>
          <t>P1 email intro</t>
        </is>
      </c>
      <c r="G2" s="16" t="n">
        <v>46296</v>
      </c>
      <c r="H2" s="15" t="inlineStr">
        <is>
          <t>Scheduled</t>
        </is>
      </c>
      <c r="I2" s="16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</row>
    <row r="3">
      <c r="A3" s="15" t="inlineStr">
        <is>
          <t>I02</t>
        </is>
      </c>
      <c r="B3" s="15" t="inlineStr">
        <is>
          <t>C02</t>
        </is>
      </c>
      <c r="C3" s="15" t="inlineStr">
        <is>
          <t>Owner 2</t>
        </is>
      </c>
      <c r="D3" s="15" t="inlineStr">
        <is>
          <t>Buyer</t>
        </is>
      </c>
      <c r="E3" s="15" t="inlineStr">
        <is>
          <t>Constrained</t>
        </is>
      </c>
      <c r="F3" s="15" t="inlineStr">
        <is>
          <t>In-person canvass</t>
        </is>
      </c>
      <c r="G3" s="16" t="n">
        <v>46295</v>
      </c>
      <c r="H3" s="15" t="inlineStr">
        <is>
          <t>Scheduled</t>
        </is>
      </c>
      <c r="I3" s="16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</row>
    <row r="4">
      <c r="A4" s="15" t="inlineStr">
        <is>
          <t>I03</t>
        </is>
      </c>
      <c r="B4" s="15" t="inlineStr">
        <is>
          <t>C03</t>
        </is>
      </c>
      <c r="C4" s="15" t="inlineStr">
        <is>
          <t>Owner 3</t>
        </is>
      </c>
      <c r="D4" s="15" t="inlineStr">
        <is>
          <t>Buyer</t>
        </is>
      </c>
      <c r="E4" s="15" t="inlineStr">
        <is>
          <t>Constrained</t>
        </is>
      </c>
      <c r="F4" s="15" t="inlineStr">
        <is>
          <t>In-person canvass</t>
        </is>
      </c>
      <c r="G4" s="16" t="n">
        <v>46296</v>
      </c>
      <c r="H4" s="15" t="inlineStr">
        <is>
          <t>Scheduled</t>
        </is>
      </c>
      <c r="I4" s="16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</row>
    <row r="5">
      <c r="A5" s="15" t="inlineStr">
        <is>
          <t>I04</t>
        </is>
      </c>
      <c r="B5" s="15" t="inlineStr">
        <is>
          <t>C04</t>
        </is>
      </c>
      <c r="C5" s="15" t="inlineStr">
        <is>
          <t>Parent 1</t>
        </is>
      </c>
      <c r="D5" s="15" t="inlineStr">
        <is>
          <t>Buyer</t>
        </is>
      </c>
      <c r="E5" s="15" t="inlineStr">
        <is>
          <t>Constrained</t>
        </is>
      </c>
      <c r="F5" s="15" t="inlineStr">
        <is>
          <t>Direct</t>
        </is>
      </c>
      <c r="G5" s="16" t="n">
        <v>46295</v>
      </c>
      <c r="H5" s="15" t="inlineStr">
        <is>
          <t>Scheduled</t>
        </is>
      </c>
      <c r="I5" s="16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</row>
    <row r="6">
      <c r="A6" s="15" t="inlineStr">
        <is>
          <t>I05</t>
        </is>
      </c>
      <c r="B6" s="15" t="inlineStr">
        <is>
          <t>C05</t>
        </is>
      </c>
      <c r="C6" s="15" t="inlineStr">
        <is>
          <t>Facilitator 1</t>
        </is>
      </c>
      <c r="D6" s="15" t="inlineStr">
        <is>
          <t>User</t>
        </is>
      </c>
      <c r="E6" s="15" t="inlineStr">
        <is>
          <t>Constrained</t>
        </is>
      </c>
      <c r="F6" s="15" t="inlineStr">
        <is>
          <t>P2 email</t>
        </is>
      </c>
      <c r="G6" s="16" t="n">
        <v>46297</v>
      </c>
      <c r="H6" s="15" t="inlineStr">
        <is>
          <t>Scheduled</t>
        </is>
      </c>
      <c r="I6" s="16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</row>
    <row r="7">
      <c r="A7" s="15" t="inlineStr">
        <is>
          <t>I06</t>
        </is>
      </c>
      <c r="B7" s="15" t="inlineStr">
        <is>
          <t>C06</t>
        </is>
      </c>
      <c r="C7" s="15" t="inlineStr">
        <is>
          <t>Facilitator 2</t>
        </is>
      </c>
      <c r="D7" s="15" t="inlineStr">
        <is>
          <t>User</t>
        </is>
      </c>
      <c r="E7" s="15" t="inlineStr">
        <is>
          <t>Constrained</t>
        </is>
      </c>
      <c r="F7" s="15" t="inlineStr">
        <is>
          <t>P2 email</t>
        </is>
      </c>
      <c r="G7" s="16" t="n">
        <v>46298</v>
      </c>
      <c r="H7" s="15" t="inlineStr">
        <is>
          <t>Scheduled</t>
        </is>
      </c>
      <c r="I7" s="16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</row>
    <row r="8">
      <c r="A8" s="15" t="inlineStr">
        <is>
          <t>I07</t>
        </is>
      </c>
      <c r="B8" s="15" t="inlineStr">
        <is>
          <t>C07</t>
        </is>
      </c>
      <c r="C8" s="15" t="inlineStr">
        <is>
          <t>Librarian</t>
        </is>
      </c>
      <c r="D8" s="15" t="inlineStr">
        <is>
          <t>Host</t>
        </is>
      </c>
      <c r="E8" s="15" t="inlineStr">
        <is>
          <t>Constrained</t>
        </is>
      </c>
      <c r="F8" s="15" t="inlineStr">
        <is>
          <t>P3 letter</t>
        </is>
      </c>
      <c r="G8" s="16" t="n">
        <v>46300</v>
      </c>
      <c r="H8" s="15" t="inlineStr">
        <is>
          <t>Scheduled</t>
        </is>
      </c>
      <c r="I8" s="16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</row>
    <row r="9">
      <c r="A9" s="15" t="inlineStr">
        <is>
          <t>I08</t>
        </is>
      </c>
      <c r="B9" s="15" t="inlineStr">
        <is>
          <t>C08</t>
        </is>
      </c>
      <c r="C9" s="15" t="inlineStr">
        <is>
          <t>Library maker lead</t>
        </is>
      </c>
      <c r="D9" s="15" t="inlineStr">
        <is>
          <t>User</t>
        </is>
      </c>
      <c r="E9" s="15" t="inlineStr">
        <is>
          <t>Tech-rich</t>
        </is>
      </c>
      <c r="F9" s="15" t="inlineStr">
        <is>
          <t>P4 post</t>
        </is>
      </c>
      <c r="G9" s="16" t="n">
        <v>46300</v>
      </c>
      <c r="H9" s="15" t="inlineStr">
        <is>
          <t>Scheduled</t>
        </is>
      </c>
      <c r="I9" s="16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</row>
    <row r="10">
      <c r="A10" s="15" t="inlineStr">
        <is>
          <t>I09</t>
        </is>
      </c>
      <c r="B10" s="15" t="inlineStr">
        <is>
          <t>C09</t>
        </is>
      </c>
      <c r="C10" s="15" t="inlineStr">
        <is>
          <t>Parent 2</t>
        </is>
      </c>
      <c r="D10" s="15" t="inlineStr">
        <is>
          <t>Buyer</t>
        </is>
      </c>
      <c r="E10" s="15" t="inlineStr">
        <is>
          <t>Tech-rich</t>
        </is>
      </c>
      <c r="F10" s="15" t="inlineStr">
        <is>
          <t>R4 post</t>
        </is>
      </c>
      <c r="G10" s="16" t="n">
        <v>46301</v>
      </c>
      <c r="H10" s="15" t="inlineStr">
        <is>
          <t>Scheduled</t>
        </is>
      </c>
      <c r="I10" s="16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</row>
    <row r="11">
      <c r="A11" s="15" t="inlineStr">
        <is>
          <t>I10</t>
        </is>
      </c>
      <c r="B11" s="15" t="inlineStr">
        <is>
          <t>C10</t>
        </is>
      </c>
      <c r="C11" s="15" t="inlineStr">
        <is>
          <t>Researcher</t>
        </is>
      </c>
      <c r="D11" s="15" t="inlineStr">
        <is>
          <t>Research</t>
        </is>
      </c>
      <c r="E11" s="15" t="inlineStr">
        <is>
          <t>Both</t>
        </is>
      </c>
      <c r="F11" s="15" t="inlineStr">
        <is>
          <t>P5 email</t>
        </is>
      </c>
      <c r="G11" s="16" t="n">
        <v>46301</v>
      </c>
      <c r="H11" s="15" t="inlineStr">
        <is>
          <t>Scheduled</t>
        </is>
      </c>
      <c r="I11" s="16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</row>
    <row r="12">
      <c r="G12" s="17" t="n"/>
      <c r="I12" s="17" t="n"/>
    </row>
    <row r="13">
      <c r="G13" s="17" t="n"/>
      <c r="I13" s="17" t="n"/>
    </row>
    <row r="14">
      <c r="G14" s="17" t="n"/>
      <c r="I14" s="17" t="n"/>
    </row>
    <row r="15">
      <c r="G15" s="17" t="n"/>
      <c r="I15" s="17" t="n"/>
    </row>
    <row r="16">
      <c r="G16" s="17" t="n"/>
      <c r="I16" s="17" t="n"/>
    </row>
    <row r="17">
      <c r="G17" s="17" t="n"/>
      <c r="I17" s="17" t="n"/>
    </row>
    <row r="18">
      <c r="G18" s="17" t="n"/>
      <c r="I18" s="17" t="n"/>
    </row>
    <row r="19">
      <c r="G19" s="17" t="n"/>
      <c r="I19" s="17" t="n"/>
    </row>
    <row r="20">
      <c r="G20" s="17" t="n"/>
      <c r="I20" s="17" t="n"/>
    </row>
    <row r="21">
      <c r="G21" s="17" t="n"/>
      <c r="I21" s="17" t="n"/>
    </row>
    <row r="22">
      <c r="G22" s="17" t="n"/>
      <c r="I22" s="17" t="n"/>
    </row>
    <row r="23">
      <c r="G23" s="17" t="n"/>
      <c r="I23" s="17" t="n"/>
    </row>
    <row r="24">
      <c r="G24" s="17" t="n"/>
      <c r="I24" s="17" t="n"/>
    </row>
    <row r="25">
      <c r="G25" s="17" t="n"/>
      <c r="I25" s="17" t="n"/>
    </row>
    <row r="26">
      <c r="G26" s="17" t="n"/>
      <c r="I26" s="17" t="n"/>
    </row>
    <row r="27">
      <c r="G27" s="17" t="n"/>
      <c r="I27" s="17" t="n"/>
    </row>
    <row r="28">
      <c r="G28" s="17" t="n"/>
      <c r="I28" s="17" t="n"/>
    </row>
    <row r="29">
      <c r="G29" s="17" t="n"/>
      <c r="I29" s="17" t="n"/>
    </row>
    <row r="30">
      <c r="G30" s="17" t="n"/>
      <c r="I30" s="17" t="n"/>
    </row>
    <row r="31">
      <c r="G31" s="17" t="n"/>
      <c r="I31" s="17" t="n"/>
    </row>
    <row r="32">
      <c r="G32" s="17" t="n"/>
      <c r="I32" s="17" t="n"/>
    </row>
    <row r="33">
      <c r="G33" s="17" t="n"/>
      <c r="I33" s="17" t="n"/>
    </row>
    <row r="34">
      <c r="G34" s="17" t="n"/>
      <c r="I34" s="17" t="n"/>
    </row>
    <row r="35">
      <c r="G35" s="17" t="n"/>
      <c r="I35" s="17" t="n"/>
    </row>
    <row r="36">
      <c r="G36" s="17" t="n"/>
      <c r="I36" s="17" t="n"/>
    </row>
    <row r="37">
      <c r="G37" s="17" t="n"/>
      <c r="I37" s="17" t="n"/>
    </row>
    <row r="38">
      <c r="G38" s="17" t="n"/>
      <c r="I38" s="17" t="n"/>
    </row>
    <row r="39">
      <c r="G39" s="17" t="n"/>
      <c r="I39" s="17" t="n"/>
    </row>
    <row r="40">
      <c r="G40" s="17" t="n"/>
      <c r="I40" s="17" t="n"/>
    </row>
    <row r="41">
      <c r="G41" s="17" t="n"/>
      <c r="I41" s="17" t="n"/>
    </row>
    <row r="42">
      <c r="G42" s="17" t="n"/>
      <c r="I42" s="17" t="n"/>
    </row>
    <row r="43">
      <c r="G43" s="17" t="n"/>
      <c r="I43" s="17" t="n"/>
    </row>
    <row r="44">
      <c r="G44" s="17" t="n"/>
      <c r="I44" s="17" t="n"/>
    </row>
    <row r="45">
      <c r="G45" s="17" t="n"/>
      <c r="I45" s="17" t="n"/>
    </row>
    <row r="46">
      <c r="G46" s="17" t="n"/>
      <c r="I46" s="17" t="n"/>
    </row>
    <row r="47">
      <c r="G47" s="17" t="n"/>
      <c r="I47" s="17" t="n"/>
    </row>
    <row r="48">
      <c r="G48" s="17" t="n"/>
      <c r="I48" s="17" t="n"/>
    </row>
    <row r="49">
      <c r="G49" s="17" t="n"/>
      <c r="I49" s="17" t="n"/>
    </row>
    <row r="50">
      <c r="G50" s="17" t="n"/>
      <c r="I50" s="17" t="n"/>
    </row>
    <row r="51">
      <c r="G51" s="17" t="n"/>
      <c r="I51" s="17" t="n"/>
    </row>
    <row r="52">
      <c r="G52" s="17" t="n"/>
      <c r="I52" s="17" t="n"/>
    </row>
    <row r="53">
      <c r="G53" s="17" t="n"/>
      <c r="I53" s="17" t="n"/>
    </row>
    <row r="54">
      <c r="G54" s="17" t="n"/>
      <c r="I54" s="17" t="n"/>
    </row>
    <row r="55">
      <c r="G55" s="17" t="n"/>
      <c r="I55" s="17" t="n"/>
    </row>
    <row r="56">
      <c r="G56" s="17" t="n"/>
      <c r="I56" s="17" t="n"/>
    </row>
    <row r="57">
      <c r="G57" s="17" t="n"/>
      <c r="I57" s="17" t="n"/>
    </row>
    <row r="58">
      <c r="G58" s="17" t="n"/>
      <c r="I58" s="17" t="n"/>
    </row>
    <row r="59">
      <c r="G59" s="17" t="n"/>
      <c r="I59" s="17" t="n"/>
    </row>
    <row r="60">
      <c r="G60" s="17" t="n"/>
      <c r="I60" s="17" t="n"/>
    </row>
    <row r="61">
      <c r="G61" s="17" t="n"/>
      <c r="I61" s="17" t="n"/>
    </row>
    <row r="62">
      <c r="G62" s="17" t="n"/>
      <c r="I62" s="17" t="n"/>
    </row>
    <row r="63">
      <c r="G63" s="17" t="n"/>
      <c r="I63" s="17" t="n"/>
    </row>
    <row r="64">
      <c r="G64" s="17" t="n"/>
      <c r="I64" s="17" t="n"/>
    </row>
    <row r="65">
      <c r="G65" s="17" t="n"/>
      <c r="I65" s="17" t="n"/>
    </row>
    <row r="66">
      <c r="G66" s="17" t="n"/>
      <c r="I66" s="17" t="n"/>
    </row>
    <row r="67">
      <c r="G67" s="17" t="n"/>
      <c r="I67" s="17" t="n"/>
    </row>
    <row r="68">
      <c r="G68" s="17" t="n"/>
      <c r="I68" s="17" t="n"/>
    </row>
    <row r="69">
      <c r="G69" s="17" t="n"/>
      <c r="I69" s="17" t="n"/>
    </row>
    <row r="70">
      <c r="G70" s="17" t="n"/>
      <c r="I70" s="17" t="n"/>
    </row>
    <row r="71">
      <c r="G71" s="17" t="n"/>
      <c r="I71" s="17" t="n"/>
    </row>
    <row r="72">
      <c r="G72" s="17" t="n"/>
      <c r="I72" s="17" t="n"/>
    </row>
    <row r="73">
      <c r="G73" s="17" t="n"/>
      <c r="I73" s="17" t="n"/>
    </row>
    <row r="74">
      <c r="G74" s="17" t="n"/>
      <c r="I74" s="17" t="n"/>
    </row>
    <row r="75">
      <c r="G75" s="17" t="n"/>
      <c r="I75" s="17" t="n"/>
    </row>
    <row r="76">
      <c r="G76" s="17" t="n"/>
      <c r="I76" s="17" t="n"/>
    </row>
    <row r="77">
      <c r="G77" s="17" t="n"/>
      <c r="I77" s="17" t="n"/>
    </row>
    <row r="78">
      <c r="G78" s="17" t="n"/>
      <c r="I78" s="17" t="n"/>
    </row>
    <row r="79">
      <c r="G79" s="17" t="n"/>
      <c r="I79" s="17" t="n"/>
    </row>
    <row r="80">
      <c r="G80" s="17" t="n"/>
      <c r="I80" s="17" t="n"/>
    </row>
    <row r="81">
      <c r="G81" s="17" t="n"/>
      <c r="I81" s="17" t="n"/>
    </row>
    <row r="82">
      <c r="G82" s="17" t="n"/>
      <c r="I82" s="17" t="n"/>
    </row>
    <row r="83">
      <c r="G83" s="17" t="n"/>
      <c r="I83" s="17" t="n"/>
    </row>
    <row r="84">
      <c r="G84" s="17" t="n"/>
      <c r="I84" s="17" t="n"/>
    </row>
    <row r="85">
      <c r="G85" s="17" t="n"/>
      <c r="I85" s="17" t="n"/>
    </row>
    <row r="86">
      <c r="G86" s="17" t="n"/>
      <c r="I86" s="17" t="n"/>
    </row>
    <row r="87">
      <c r="G87" s="17" t="n"/>
      <c r="I87" s="17" t="n"/>
    </row>
    <row r="88">
      <c r="G88" s="17" t="n"/>
      <c r="I88" s="17" t="n"/>
    </row>
    <row r="89">
      <c r="G89" s="17" t="n"/>
      <c r="I89" s="17" t="n"/>
    </row>
    <row r="90">
      <c r="G90" s="17" t="n"/>
      <c r="I90" s="17" t="n"/>
    </row>
    <row r="91">
      <c r="G91" s="17" t="n"/>
      <c r="I91" s="17" t="n"/>
    </row>
    <row r="92">
      <c r="G92" s="17" t="n"/>
      <c r="I92" s="17" t="n"/>
    </row>
    <row r="93">
      <c r="G93" s="17" t="n"/>
      <c r="I93" s="17" t="n"/>
    </row>
    <row r="94">
      <c r="G94" s="17" t="n"/>
      <c r="I94" s="17" t="n"/>
    </row>
    <row r="95">
      <c r="G95" s="17" t="n"/>
      <c r="I95" s="17" t="n"/>
    </row>
    <row r="96">
      <c r="G96" s="17" t="n"/>
      <c r="I96" s="17" t="n"/>
    </row>
    <row r="97">
      <c r="G97" s="17" t="n"/>
      <c r="I97" s="17" t="n"/>
    </row>
    <row r="98">
      <c r="G98" s="17" t="n"/>
      <c r="I98" s="17" t="n"/>
    </row>
    <row r="99">
      <c r="G99" s="17" t="n"/>
      <c r="I99" s="17" t="n"/>
    </row>
    <row r="100">
      <c r="G100" s="17" t="n"/>
      <c r="I100" s="17" t="n"/>
    </row>
    <row r="101">
      <c r="G101" s="17" t="n"/>
      <c r="I101" s="17" t="n"/>
    </row>
    <row r="102">
      <c r="G102" s="17" t="n"/>
      <c r="I102" s="17" t="n"/>
    </row>
    <row r="103">
      <c r="G103" s="17" t="n"/>
      <c r="I103" s="17" t="n"/>
    </row>
    <row r="104">
      <c r="G104" s="17" t="n"/>
      <c r="I104" s="17" t="n"/>
    </row>
    <row r="105">
      <c r="G105" s="17" t="n"/>
      <c r="I105" s="17" t="n"/>
    </row>
    <row r="106">
      <c r="G106" s="17" t="n"/>
      <c r="I106" s="17" t="n"/>
    </row>
    <row r="107">
      <c r="G107" s="17" t="n"/>
      <c r="I107" s="17" t="n"/>
    </row>
    <row r="108">
      <c r="G108" s="17" t="n"/>
      <c r="I108" s="17" t="n"/>
    </row>
    <row r="109">
      <c r="G109" s="17" t="n"/>
      <c r="I109" s="17" t="n"/>
    </row>
    <row r="110">
      <c r="G110" s="17" t="n"/>
      <c r="I110" s="17" t="n"/>
    </row>
    <row r="111">
      <c r="G111" s="17" t="n"/>
      <c r="I111" s="17" t="n"/>
    </row>
    <row r="112">
      <c r="G112" s="17" t="n"/>
      <c r="I112" s="17" t="n"/>
    </row>
    <row r="113">
      <c r="G113" s="17" t="n"/>
      <c r="I113" s="17" t="n"/>
    </row>
    <row r="114">
      <c r="G114" s="17" t="n"/>
      <c r="I114" s="17" t="n"/>
    </row>
    <row r="115">
      <c r="G115" s="17" t="n"/>
      <c r="I115" s="17" t="n"/>
    </row>
    <row r="116">
      <c r="G116" s="17" t="n"/>
      <c r="I116" s="17" t="n"/>
    </row>
    <row r="117">
      <c r="G117" s="17" t="n"/>
      <c r="I117" s="17" t="n"/>
    </row>
    <row r="118">
      <c r="G118" s="17" t="n"/>
      <c r="I118" s="17" t="n"/>
    </row>
    <row r="119">
      <c r="G119" s="17" t="n"/>
      <c r="I119" s="17" t="n"/>
    </row>
    <row r="120">
      <c r="G120" s="17" t="n"/>
      <c r="I120" s="17" t="n"/>
    </row>
    <row r="121">
      <c r="G121" s="17" t="n"/>
      <c r="I121" s="17" t="n"/>
    </row>
    <row r="122">
      <c r="G122" s="17" t="n"/>
      <c r="I122" s="17" t="n"/>
    </row>
    <row r="123">
      <c r="G123" s="17" t="n"/>
      <c r="I123" s="17" t="n"/>
    </row>
    <row r="124">
      <c r="G124" s="17" t="n"/>
      <c r="I124" s="17" t="n"/>
    </row>
    <row r="125">
      <c r="G125" s="17" t="n"/>
      <c r="I125" s="17" t="n"/>
    </row>
    <row r="126">
      <c r="G126" s="17" t="n"/>
      <c r="I126" s="17" t="n"/>
    </row>
    <row r="127">
      <c r="G127" s="17" t="n"/>
      <c r="I127" s="17" t="n"/>
    </row>
    <row r="128">
      <c r="G128" s="17" t="n"/>
      <c r="I128" s="17" t="n"/>
    </row>
    <row r="129">
      <c r="G129" s="17" t="n"/>
      <c r="I129" s="17" t="n"/>
    </row>
    <row r="130">
      <c r="G130" s="17" t="n"/>
      <c r="I130" s="17" t="n"/>
    </row>
    <row r="131">
      <c r="G131" s="17" t="n"/>
      <c r="I131" s="17" t="n"/>
    </row>
    <row r="132">
      <c r="G132" s="17" t="n"/>
      <c r="I132" s="17" t="n"/>
    </row>
    <row r="133">
      <c r="G133" s="17" t="n"/>
      <c r="I133" s="17" t="n"/>
    </row>
    <row r="134">
      <c r="G134" s="17" t="n"/>
      <c r="I134" s="17" t="n"/>
    </row>
    <row r="135">
      <c r="G135" s="17" t="n"/>
      <c r="I135" s="17" t="n"/>
    </row>
    <row r="136">
      <c r="G136" s="17" t="n"/>
      <c r="I136" s="17" t="n"/>
    </row>
    <row r="137">
      <c r="G137" s="17" t="n"/>
      <c r="I137" s="17" t="n"/>
    </row>
    <row r="138">
      <c r="G138" s="17" t="n"/>
      <c r="I138" s="17" t="n"/>
    </row>
    <row r="139">
      <c r="G139" s="17" t="n"/>
      <c r="I139" s="17" t="n"/>
    </row>
    <row r="140">
      <c r="G140" s="17" t="n"/>
      <c r="I140" s="17" t="n"/>
    </row>
    <row r="141">
      <c r="G141" s="17" t="n"/>
      <c r="I141" s="17" t="n"/>
    </row>
    <row r="142">
      <c r="G142" s="17" t="n"/>
      <c r="I142" s="17" t="n"/>
    </row>
    <row r="143">
      <c r="G143" s="17" t="n"/>
      <c r="I143" s="17" t="n"/>
    </row>
    <row r="144">
      <c r="G144" s="17" t="n"/>
      <c r="I144" s="17" t="n"/>
    </row>
    <row r="145">
      <c r="G145" s="17" t="n"/>
      <c r="I145" s="17" t="n"/>
    </row>
    <row r="146">
      <c r="G146" s="17" t="n"/>
      <c r="I146" s="17" t="n"/>
    </row>
    <row r="147">
      <c r="G147" s="17" t="n"/>
      <c r="I147" s="17" t="n"/>
    </row>
    <row r="148">
      <c r="G148" s="17" t="n"/>
      <c r="I148" s="17" t="n"/>
    </row>
    <row r="149">
      <c r="G149" s="17" t="n"/>
      <c r="I149" s="17" t="n"/>
    </row>
    <row r="150">
      <c r="G150" s="17" t="n"/>
      <c r="I150" s="17" t="n"/>
    </row>
    <row r="151">
      <c r="G151" s="17" t="n"/>
      <c r="I151" s="17" t="n"/>
    </row>
    <row r="152">
      <c r="G152" s="17" t="n"/>
      <c r="I152" s="17" t="n"/>
    </row>
    <row r="153">
      <c r="G153" s="17" t="n"/>
      <c r="I153" s="17" t="n"/>
    </row>
    <row r="154">
      <c r="G154" s="17" t="n"/>
      <c r="I154" s="17" t="n"/>
    </row>
    <row r="155">
      <c r="G155" s="17" t="n"/>
      <c r="I155" s="17" t="n"/>
    </row>
    <row r="156">
      <c r="G156" s="17" t="n"/>
      <c r="I156" s="17" t="n"/>
    </row>
    <row r="157">
      <c r="G157" s="17" t="n"/>
      <c r="I157" s="17" t="n"/>
    </row>
    <row r="158">
      <c r="G158" s="17" t="n"/>
      <c r="I158" s="17" t="n"/>
    </row>
    <row r="159">
      <c r="G159" s="17" t="n"/>
      <c r="I159" s="17" t="n"/>
    </row>
    <row r="160">
      <c r="G160" s="17" t="n"/>
      <c r="I160" s="17" t="n"/>
    </row>
    <row r="161">
      <c r="G161" s="17" t="n"/>
      <c r="I161" s="17" t="n"/>
    </row>
    <row r="162">
      <c r="G162" s="17" t="n"/>
      <c r="I162" s="17" t="n"/>
    </row>
    <row r="163">
      <c r="G163" s="17" t="n"/>
      <c r="I163" s="17" t="n"/>
    </row>
    <row r="164">
      <c r="G164" s="17" t="n"/>
      <c r="I164" s="17" t="n"/>
    </row>
    <row r="165">
      <c r="G165" s="17" t="n"/>
      <c r="I165" s="17" t="n"/>
    </row>
    <row r="166">
      <c r="G166" s="17" t="n"/>
      <c r="I166" s="17" t="n"/>
    </row>
    <row r="167">
      <c r="G167" s="17" t="n"/>
      <c r="I167" s="17" t="n"/>
    </row>
    <row r="168">
      <c r="G168" s="17" t="n"/>
      <c r="I168" s="17" t="n"/>
    </row>
    <row r="169">
      <c r="G169" s="17" t="n"/>
      <c r="I169" s="17" t="n"/>
    </row>
    <row r="170">
      <c r="G170" s="17" t="n"/>
      <c r="I170" s="17" t="n"/>
    </row>
    <row r="171">
      <c r="G171" s="17" t="n"/>
      <c r="I171" s="17" t="n"/>
    </row>
    <row r="172">
      <c r="G172" s="17" t="n"/>
      <c r="I172" s="17" t="n"/>
    </row>
    <row r="173">
      <c r="G173" s="17" t="n"/>
      <c r="I173" s="17" t="n"/>
    </row>
    <row r="174">
      <c r="G174" s="17" t="n"/>
      <c r="I174" s="17" t="n"/>
    </row>
    <row r="175">
      <c r="G175" s="17" t="n"/>
      <c r="I175" s="17" t="n"/>
    </row>
    <row r="176">
      <c r="G176" s="17" t="n"/>
      <c r="I176" s="17" t="n"/>
    </row>
    <row r="177">
      <c r="G177" s="17" t="n"/>
      <c r="I177" s="17" t="n"/>
    </row>
    <row r="178">
      <c r="G178" s="17" t="n"/>
      <c r="I178" s="17" t="n"/>
    </row>
    <row r="179">
      <c r="G179" s="17" t="n"/>
      <c r="I179" s="17" t="n"/>
    </row>
    <row r="180">
      <c r="G180" s="17" t="n"/>
      <c r="I180" s="17" t="n"/>
    </row>
    <row r="181">
      <c r="G181" s="17" t="n"/>
      <c r="I181" s="17" t="n"/>
    </row>
    <row r="182">
      <c r="G182" s="17" t="n"/>
      <c r="I182" s="17" t="n"/>
    </row>
    <row r="183">
      <c r="G183" s="17" t="n"/>
      <c r="I183" s="17" t="n"/>
    </row>
    <row r="184">
      <c r="G184" s="17" t="n"/>
      <c r="I184" s="17" t="n"/>
    </row>
    <row r="185">
      <c r="G185" s="17" t="n"/>
      <c r="I185" s="17" t="n"/>
    </row>
    <row r="186">
      <c r="G186" s="17" t="n"/>
      <c r="I186" s="17" t="n"/>
    </row>
    <row r="187">
      <c r="G187" s="17" t="n"/>
      <c r="I187" s="17" t="n"/>
    </row>
    <row r="188">
      <c r="G188" s="17" t="n"/>
      <c r="I188" s="17" t="n"/>
    </row>
    <row r="189">
      <c r="G189" s="17" t="n"/>
      <c r="I189" s="17" t="n"/>
    </row>
    <row r="190">
      <c r="G190" s="17" t="n"/>
      <c r="I190" s="17" t="n"/>
    </row>
    <row r="191">
      <c r="G191" s="17" t="n"/>
      <c r="I191" s="17" t="n"/>
    </row>
    <row r="192">
      <c r="G192" s="17" t="n"/>
      <c r="I192" s="17" t="n"/>
    </row>
    <row r="193">
      <c r="G193" s="17" t="n"/>
      <c r="I193" s="17" t="n"/>
    </row>
    <row r="194">
      <c r="G194" s="17" t="n"/>
      <c r="I194" s="17" t="n"/>
    </row>
    <row r="195">
      <c r="G195" s="17" t="n"/>
      <c r="I195" s="17" t="n"/>
    </row>
    <row r="196">
      <c r="G196" s="17" t="n"/>
      <c r="I196" s="17" t="n"/>
    </row>
    <row r="197">
      <c r="G197" s="17" t="n"/>
      <c r="I197" s="17" t="n"/>
    </row>
    <row r="198">
      <c r="G198" s="17" t="n"/>
      <c r="I198" s="17" t="n"/>
    </row>
    <row r="199">
      <c r="G199" s="17" t="n"/>
      <c r="I199" s="17" t="n"/>
    </row>
    <row r="200">
      <c r="G200" s="17" t="n"/>
      <c r="I200" s="17" t="n"/>
    </row>
  </sheetData>
  <conditionalFormatting sqref="H2:H200">
    <cfRule type="cellIs" priority="1" operator="equal" dxfId="2">
      <formula>"Done"</formula>
    </cfRule>
    <cfRule type="cellIs" priority="2" operator="equal" dxfId="0">
      <formula>"No-show"</formula>
    </cfRule>
    <cfRule type="cellIs" priority="3" operator="equal" dxfId="3">
      <formula>"Rescheduled"</formula>
    </cfRule>
  </conditionalFormatting>
  <dataValidations count="5">
    <dataValidation sqref="D2:D200" showDropDown="0" showInputMessage="0" showErrorMessage="0" allowBlank="1" type="list">
      <formula1>"Buyer,User,Host,Research"</formula1>
    </dataValidation>
    <dataValidation sqref="E2:E200" showDropDown="0" showInputMessage="0" showErrorMessage="0" allowBlank="1" type="list">
      <formula1>"Constrained,Tech-rich,Both"</formula1>
    </dataValidation>
    <dataValidation sqref="H2:H200" showDropDown="0" showInputMessage="0" showErrorMessage="0" allowBlank="1" type="list">
      <formula1>"Scheduled,Done,Rescheduled,No-show,Cancelled"</formula1>
    </dataValidation>
    <dataValidation sqref="K2:K200" showDropDown="0" showInputMessage="0" showErrorMessage="0" allowBlank="1" type="list">
      <formula1>"Yes,No"</formula1>
    </dataValidation>
    <dataValidation sqref="U2:Y200" showDropDown="0" showInputMessage="0" showErrorMessage="1" allowBlank="1" error="Rate 0–3" type="whole" operator="between">
      <formula1>0</formula1>
      <formula2>3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2643E"/>
    <outlinePr summaryBelow="1" summaryRight="1"/>
    <pageSetUpPr/>
  </sheetPr>
  <dimension ref="A1:H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4" t="inlineStr">
        <is>
          <t>Participant</t>
        </is>
      </c>
      <c r="B1" s="14" t="inlineStr">
        <is>
          <t>Role</t>
        </is>
      </c>
      <c r="C1" s="14" t="inlineStr">
        <is>
          <t>Status</t>
        </is>
      </c>
      <c r="D1" s="14" t="inlineStr">
        <is>
          <t>P1 Can't tell if skill transfers</t>
        </is>
      </c>
      <c r="E1" s="14" t="inlineStr">
        <is>
          <t>P2 Stops without key facilitator</t>
        </is>
      </c>
      <c r="F1" s="14" t="inlineStr">
        <is>
          <t>P3 Prep time too high</t>
        </is>
      </c>
      <c r="G1" s="14" t="inlineStr">
        <is>
          <t>P4 Hard to show families progress</t>
        </is>
      </c>
      <c r="H1" s="14" t="inlineStr">
        <is>
          <t>P5 No budget route</t>
        </is>
      </c>
    </row>
    <row r="2">
      <c r="A2" s="15">
        <f>IF(Interviews!C2="","",Interviews!C2)</f>
        <v/>
      </c>
      <c r="B2" s="15">
        <f>IF(Interviews!D2="","",Interviews!D2)</f>
        <v/>
      </c>
      <c r="C2" s="15">
        <f>IF(Interviews!H2="","",Interviews!H2)</f>
        <v/>
      </c>
      <c r="D2" s="15">
        <f>IF(Interviews!U2="","",Interviews!U2)</f>
        <v/>
      </c>
      <c r="E2" s="15">
        <f>IF(Interviews!V2="","",Interviews!V2)</f>
        <v/>
      </c>
      <c r="F2" s="15">
        <f>IF(Interviews!W2="","",Interviews!W2)</f>
        <v/>
      </c>
      <c r="G2" s="15">
        <f>IF(Interviews!X2="","",Interviews!X2)</f>
        <v/>
      </c>
      <c r="H2" s="15">
        <f>IF(Interviews!Y2="","",Interviews!Y2)</f>
        <v/>
      </c>
    </row>
    <row r="3">
      <c r="A3" s="15">
        <f>IF(Interviews!C3="","",Interviews!C3)</f>
        <v/>
      </c>
      <c r="B3" s="15">
        <f>IF(Interviews!D3="","",Interviews!D3)</f>
        <v/>
      </c>
      <c r="C3" s="15">
        <f>IF(Interviews!H3="","",Interviews!H3)</f>
        <v/>
      </c>
      <c r="D3" s="15">
        <f>IF(Interviews!U3="","",Interviews!U3)</f>
        <v/>
      </c>
      <c r="E3" s="15">
        <f>IF(Interviews!V3="","",Interviews!V3)</f>
        <v/>
      </c>
      <c r="F3" s="15">
        <f>IF(Interviews!W3="","",Interviews!W3)</f>
        <v/>
      </c>
      <c r="G3" s="15">
        <f>IF(Interviews!X3="","",Interviews!X3)</f>
        <v/>
      </c>
      <c r="H3" s="15">
        <f>IF(Interviews!Y3="","",Interviews!Y3)</f>
        <v/>
      </c>
    </row>
    <row r="4">
      <c r="A4" s="15">
        <f>IF(Interviews!C4="","",Interviews!C4)</f>
        <v/>
      </c>
      <c r="B4" s="15">
        <f>IF(Interviews!D4="","",Interviews!D4)</f>
        <v/>
      </c>
      <c r="C4" s="15">
        <f>IF(Interviews!H4="","",Interviews!H4)</f>
        <v/>
      </c>
      <c r="D4" s="15">
        <f>IF(Interviews!U4="","",Interviews!U4)</f>
        <v/>
      </c>
      <c r="E4" s="15">
        <f>IF(Interviews!V4="","",Interviews!V4)</f>
        <v/>
      </c>
      <c r="F4" s="15">
        <f>IF(Interviews!W4="","",Interviews!W4)</f>
        <v/>
      </c>
      <c r="G4" s="15">
        <f>IF(Interviews!X4="","",Interviews!X4)</f>
        <v/>
      </c>
      <c r="H4" s="15">
        <f>IF(Interviews!Y4="","",Interviews!Y4)</f>
        <v/>
      </c>
    </row>
    <row r="5">
      <c r="A5" s="15">
        <f>IF(Interviews!C5="","",Interviews!C5)</f>
        <v/>
      </c>
      <c r="B5" s="15">
        <f>IF(Interviews!D5="","",Interviews!D5)</f>
        <v/>
      </c>
      <c r="C5" s="15">
        <f>IF(Interviews!H5="","",Interviews!H5)</f>
        <v/>
      </c>
      <c r="D5" s="15">
        <f>IF(Interviews!U5="","",Interviews!U5)</f>
        <v/>
      </c>
      <c r="E5" s="15">
        <f>IF(Interviews!V5="","",Interviews!V5)</f>
        <v/>
      </c>
      <c r="F5" s="15">
        <f>IF(Interviews!W5="","",Interviews!W5)</f>
        <v/>
      </c>
      <c r="G5" s="15">
        <f>IF(Interviews!X5="","",Interviews!X5)</f>
        <v/>
      </c>
      <c r="H5" s="15">
        <f>IF(Interviews!Y5="","",Interviews!Y5)</f>
        <v/>
      </c>
    </row>
    <row r="6">
      <c r="A6" s="15">
        <f>IF(Interviews!C6="","",Interviews!C6)</f>
        <v/>
      </c>
      <c r="B6" s="15">
        <f>IF(Interviews!D6="","",Interviews!D6)</f>
        <v/>
      </c>
      <c r="C6" s="15">
        <f>IF(Interviews!H6="","",Interviews!H6)</f>
        <v/>
      </c>
      <c r="D6" s="15">
        <f>IF(Interviews!U6="","",Interviews!U6)</f>
        <v/>
      </c>
      <c r="E6" s="15">
        <f>IF(Interviews!V6="","",Interviews!V6)</f>
        <v/>
      </c>
      <c r="F6" s="15">
        <f>IF(Interviews!W6="","",Interviews!W6)</f>
        <v/>
      </c>
      <c r="G6" s="15">
        <f>IF(Interviews!X6="","",Interviews!X6)</f>
        <v/>
      </c>
      <c r="H6" s="15">
        <f>IF(Interviews!Y6="","",Interviews!Y6)</f>
        <v/>
      </c>
    </row>
    <row r="7">
      <c r="A7" s="15">
        <f>IF(Interviews!C7="","",Interviews!C7)</f>
        <v/>
      </c>
      <c r="B7" s="15">
        <f>IF(Interviews!D7="","",Interviews!D7)</f>
        <v/>
      </c>
      <c r="C7" s="15">
        <f>IF(Interviews!H7="","",Interviews!H7)</f>
        <v/>
      </c>
      <c r="D7" s="15">
        <f>IF(Interviews!U7="","",Interviews!U7)</f>
        <v/>
      </c>
      <c r="E7" s="15">
        <f>IF(Interviews!V7="","",Interviews!V7)</f>
        <v/>
      </c>
      <c r="F7" s="15">
        <f>IF(Interviews!W7="","",Interviews!W7)</f>
        <v/>
      </c>
      <c r="G7" s="15">
        <f>IF(Interviews!X7="","",Interviews!X7)</f>
        <v/>
      </c>
      <c r="H7" s="15">
        <f>IF(Interviews!Y7="","",Interviews!Y7)</f>
        <v/>
      </c>
    </row>
    <row r="8">
      <c r="A8" s="15">
        <f>IF(Interviews!C8="","",Interviews!C8)</f>
        <v/>
      </c>
      <c r="B8" s="15">
        <f>IF(Interviews!D8="","",Interviews!D8)</f>
        <v/>
      </c>
      <c r="C8" s="15">
        <f>IF(Interviews!H8="","",Interviews!H8)</f>
        <v/>
      </c>
      <c r="D8" s="15">
        <f>IF(Interviews!U8="","",Interviews!U8)</f>
        <v/>
      </c>
      <c r="E8" s="15">
        <f>IF(Interviews!V8="","",Interviews!V8)</f>
        <v/>
      </c>
      <c r="F8" s="15">
        <f>IF(Interviews!W8="","",Interviews!W8)</f>
        <v/>
      </c>
      <c r="G8" s="15">
        <f>IF(Interviews!X8="","",Interviews!X8)</f>
        <v/>
      </c>
      <c r="H8" s="15">
        <f>IF(Interviews!Y8="","",Interviews!Y8)</f>
        <v/>
      </c>
    </row>
    <row r="9">
      <c r="A9" s="15">
        <f>IF(Interviews!C9="","",Interviews!C9)</f>
        <v/>
      </c>
      <c r="B9" s="15">
        <f>IF(Interviews!D9="","",Interviews!D9)</f>
        <v/>
      </c>
      <c r="C9" s="15">
        <f>IF(Interviews!H9="","",Interviews!H9)</f>
        <v/>
      </c>
      <c r="D9" s="15">
        <f>IF(Interviews!U9="","",Interviews!U9)</f>
        <v/>
      </c>
      <c r="E9" s="15">
        <f>IF(Interviews!V9="","",Interviews!V9)</f>
        <v/>
      </c>
      <c r="F9" s="15">
        <f>IF(Interviews!W9="","",Interviews!W9)</f>
        <v/>
      </c>
      <c r="G9" s="15">
        <f>IF(Interviews!X9="","",Interviews!X9)</f>
        <v/>
      </c>
      <c r="H9" s="15">
        <f>IF(Interviews!Y9="","",Interviews!Y9)</f>
        <v/>
      </c>
    </row>
    <row r="10">
      <c r="A10" s="15">
        <f>IF(Interviews!C10="","",Interviews!C10)</f>
        <v/>
      </c>
      <c r="B10" s="15">
        <f>IF(Interviews!D10="","",Interviews!D10)</f>
        <v/>
      </c>
      <c r="C10" s="15">
        <f>IF(Interviews!H10="","",Interviews!H10)</f>
        <v/>
      </c>
      <c r="D10" s="15">
        <f>IF(Interviews!U10="","",Interviews!U10)</f>
        <v/>
      </c>
      <c r="E10" s="15">
        <f>IF(Interviews!V10="","",Interviews!V10)</f>
        <v/>
      </c>
      <c r="F10" s="15">
        <f>IF(Interviews!W10="","",Interviews!W10)</f>
        <v/>
      </c>
      <c r="G10" s="15">
        <f>IF(Interviews!X10="","",Interviews!X10)</f>
        <v/>
      </c>
      <c r="H10" s="15">
        <f>IF(Interviews!Y10="","",Interviews!Y10)</f>
        <v/>
      </c>
    </row>
    <row r="11">
      <c r="A11" s="15">
        <f>IF(Interviews!C11="","",Interviews!C11)</f>
        <v/>
      </c>
      <c r="B11" s="15">
        <f>IF(Interviews!D11="","",Interviews!D11)</f>
        <v/>
      </c>
      <c r="C11" s="15">
        <f>IF(Interviews!H11="","",Interviews!H11)</f>
        <v/>
      </c>
      <c r="D11" s="15">
        <f>IF(Interviews!U11="","",Interviews!U11)</f>
        <v/>
      </c>
      <c r="E11" s="15">
        <f>IF(Interviews!V11="","",Interviews!V11)</f>
        <v/>
      </c>
      <c r="F11" s="15">
        <f>IF(Interviews!W11="","",Interviews!W11)</f>
        <v/>
      </c>
      <c r="G11" s="15">
        <f>IF(Interviews!X11="","",Interviews!X11)</f>
        <v/>
      </c>
      <c r="H11" s="15">
        <f>IF(Interviews!Y11="","",Interviews!Y11)</f>
        <v/>
      </c>
    </row>
    <row r="12">
      <c r="A12" s="15">
        <f>IF(Interviews!C12="","",Interviews!C12)</f>
        <v/>
      </c>
      <c r="B12" s="15">
        <f>IF(Interviews!D12="","",Interviews!D12)</f>
        <v/>
      </c>
      <c r="C12" s="15">
        <f>IF(Interviews!H12="","",Interviews!H12)</f>
        <v/>
      </c>
      <c r="D12" s="15">
        <f>IF(Interviews!U12="","",Interviews!U12)</f>
        <v/>
      </c>
      <c r="E12" s="15">
        <f>IF(Interviews!V12="","",Interviews!V12)</f>
        <v/>
      </c>
      <c r="F12" s="15">
        <f>IF(Interviews!W12="","",Interviews!W12)</f>
        <v/>
      </c>
      <c r="G12" s="15">
        <f>IF(Interviews!X12="","",Interviews!X12)</f>
        <v/>
      </c>
      <c r="H12" s="15">
        <f>IF(Interviews!Y12="","",Interviews!Y12)</f>
        <v/>
      </c>
    </row>
    <row r="13">
      <c r="A13" s="15">
        <f>IF(Interviews!C13="","",Interviews!C13)</f>
        <v/>
      </c>
      <c r="B13" s="15">
        <f>IF(Interviews!D13="","",Interviews!D13)</f>
        <v/>
      </c>
      <c r="C13" s="15">
        <f>IF(Interviews!H13="","",Interviews!H13)</f>
        <v/>
      </c>
      <c r="D13" s="15">
        <f>IF(Interviews!U13="","",Interviews!U13)</f>
        <v/>
      </c>
      <c r="E13" s="15">
        <f>IF(Interviews!V13="","",Interviews!V13)</f>
        <v/>
      </c>
      <c r="F13" s="15">
        <f>IF(Interviews!W13="","",Interviews!W13)</f>
        <v/>
      </c>
      <c r="G13" s="15">
        <f>IF(Interviews!X13="","",Interviews!X13)</f>
        <v/>
      </c>
      <c r="H13" s="15">
        <f>IF(Interviews!Y13="","",Interviews!Y13)</f>
        <v/>
      </c>
    </row>
    <row r="14">
      <c r="A14" s="15">
        <f>IF(Interviews!C14="","",Interviews!C14)</f>
        <v/>
      </c>
      <c r="B14" s="15">
        <f>IF(Interviews!D14="","",Interviews!D14)</f>
        <v/>
      </c>
      <c r="C14" s="15">
        <f>IF(Interviews!H14="","",Interviews!H14)</f>
        <v/>
      </c>
      <c r="D14" s="15">
        <f>IF(Interviews!U14="","",Interviews!U14)</f>
        <v/>
      </c>
      <c r="E14" s="15">
        <f>IF(Interviews!V14="","",Interviews!V14)</f>
        <v/>
      </c>
      <c r="F14" s="15">
        <f>IF(Interviews!W14="","",Interviews!W14)</f>
        <v/>
      </c>
      <c r="G14" s="15">
        <f>IF(Interviews!X14="","",Interviews!X14)</f>
        <v/>
      </c>
      <c r="H14" s="15">
        <f>IF(Interviews!Y14="","",Interviews!Y14)</f>
        <v/>
      </c>
    </row>
    <row r="15">
      <c r="A15" s="15">
        <f>IF(Interviews!C15="","",Interviews!C15)</f>
        <v/>
      </c>
      <c r="B15" s="15">
        <f>IF(Interviews!D15="","",Interviews!D15)</f>
        <v/>
      </c>
      <c r="C15" s="15">
        <f>IF(Interviews!H15="","",Interviews!H15)</f>
        <v/>
      </c>
      <c r="D15" s="15">
        <f>IF(Interviews!U15="","",Interviews!U15)</f>
        <v/>
      </c>
      <c r="E15" s="15">
        <f>IF(Interviews!V15="","",Interviews!V15)</f>
        <v/>
      </c>
      <c r="F15" s="15">
        <f>IF(Interviews!W15="","",Interviews!W15)</f>
        <v/>
      </c>
      <c r="G15" s="15">
        <f>IF(Interviews!X15="","",Interviews!X15)</f>
        <v/>
      </c>
      <c r="H15" s="15">
        <f>IF(Interviews!Y15="","",Interviews!Y15)</f>
        <v/>
      </c>
    </row>
    <row r="16">
      <c r="A16" s="15">
        <f>IF(Interviews!C16="","",Interviews!C16)</f>
        <v/>
      </c>
      <c r="B16" s="15">
        <f>IF(Interviews!D16="","",Interviews!D16)</f>
        <v/>
      </c>
      <c r="C16" s="15">
        <f>IF(Interviews!H16="","",Interviews!H16)</f>
        <v/>
      </c>
      <c r="D16" s="15">
        <f>IF(Interviews!U16="","",Interviews!U16)</f>
        <v/>
      </c>
      <c r="E16" s="15">
        <f>IF(Interviews!V16="","",Interviews!V16)</f>
        <v/>
      </c>
      <c r="F16" s="15">
        <f>IF(Interviews!W16="","",Interviews!W16)</f>
        <v/>
      </c>
      <c r="G16" s="15">
        <f>IF(Interviews!X16="","",Interviews!X16)</f>
        <v/>
      </c>
      <c r="H16" s="15">
        <f>IF(Interviews!Y16="","",Interviews!Y16)</f>
        <v/>
      </c>
    </row>
    <row r="17">
      <c r="A17" s="15">
        <f>IF(Interviews!C17="","",Interviews!C17)</f>
        <v/>
      </c>
      <c r="B17" s="15">
        <f>IF(Interviews!D17="","",Interviews!D17)</f>
        <v/>
      </c>
      <c r="C17" s="15">
        <f>IF(Interviews!H17="","",Interviews!H17)</f>
        <v/>
      </c>
      <c r="D17" s="15">
        <f>IF(Interviews!U17="","",Interviews!U17)</f>
        <v/>
      </c>
      <c r="E17" s="15">
        <f>IF(Interviews!V17="","",Interviews!V17)</f>
        <v/>
      </c>
      <c r="F17" s="15">
        <f>IF(Interviews!W17="","",Interviews!W17)</f>
        <v/>
      </c>
      <c r="G17" s="15">
        <f>IF(Interviews!X17="","",Interviews!X17)</f>
        <v/>
      </c>
      <c r="H17" s="15">
        <f>IF(Interviews!Y17="","",Interviews!Y17)</f>
        <v/>
      </c>
    </row>
    <row r="18">
      <c r="A18" s="15">
        <f>IF(Interviews!C18="","",Interviews!C18)</f>
        <v/>
      </c>
      <c r="B18" s="15">
        <f>IF(Interviews!D18="","",Interviews!D18)</f>
        <v/>
      </c>
      <c r="C18" s="15">
        <f>IF(Interviews!H18="","",Interviews!H18)</f>
        <v/>
      </c>
      <c r="D18" s="15">
        <f>IF(Interviews!U18="","",Interviews!U18)</f>
        <v/>
      </c>
      <c r="E18" s="15">
        <f>IF(Interviews!V18="","",Interviews!V18)</f>
        <v/>
      </c>
      <c r="F18" s="15">
        <f>IF(Interviews!W18="","",Interviews!W18)</f>
        <v/>
      </c>
      <c r="G18" s="15">
        <f>IF(Interviews!X18="","",Interviews!X18)</f>
        <v/>
      </c>
      <c r="H18" s="15">
        <f>IF(Interviews!Y18="","",Interviews!Y18)</f>
        <v/>
      </c>
    </row>
    <row r="19">
      <c r="A19" s="15">
        <f>IF(Interviews!C19="","",Interviews!C19)</f>
        <v/>
      </c>
      <c r="B19" s="15">
        <f>IF(Interviews!D19="","",Interviews!D19)</f>
        <v/>
      </c>
      <c r="C19" s="15">
        <f>IF(Interviews!H19="","",Interviews!H19)</f>
        <v/>
      </c>
      <c r="D19" s="15">
        <f>IF(Interviews!U19="","",Interviews!U19)</f>
        <v/>
      </c>
      <c r="E19" s="15">
        <f>IF(Interviews!V19="","",Interviews!V19)</f>
        <v/>
      </c>
      <c r="F19" s="15">
        <f>IF(Interviews!W19="","",Interviews!W19)</f>
        <v/>
      </c>
      <c r="G19" s="15">
        <f>IF(Interviews!X19="","",Interviews!X19)</f>
        <v/>
      </c>
      <c r="H19" s="15">
        <f>IF(Interviews!Y19="","",Interviews!Y19)</f>
        <v/>
      </c>
    </row>
    <row r="20">
      <c r="A20" s="15">
        <f>IF(Interviews!C20="","",Interviews!C20)</f>
        <v/>
      </c>
      <c r="B20" s="15">
        <f>IF(Interviews!D20="","",Interviews!D20)</f>
        <v/>
      </c>
      <c r="C20" s="15">
        <f>IF(Interviews!H20="","",Interviews!H20)</f>
        <v/>
      </c>
      <c r="D20" s="15">
        <f>IF(Interviews!U20="","",Interviews!U20)</f>
        <v/>
      </c>
      <c r="E20" s="15">
        <f>IF(Interviews!V20="","",Interviews!V20)</f>
        <v/>
      </c>
      <c r="F20" s="15">
        <f>IF(Interviews!W20="","",Interviews!W20)</f>
        <v/>
      </c>
      <c r="G20" s="15">
        <f>IF(Interviews!X20="","",Interviews!X20)</f>
        <v/>
      </c>
      <c r="H20" s="15">
        <f>IF(Interviews!Y20="","",Interviews!Y20)</f>
        <v/>
      </c>
    </row>
    <row r="21">
      <c r="A21" s="15">
        <f>IF(Interviews!C21="","",Interviews!C21)</f>
        <v/>
      </c>
      <c r="B21" s="15">
        <f>IF(Interviews!D21="","",Interviews!D21)</f>
        <v/>
      </c>
      <c r="C21" s="15">
        <f>IF(Interviews!H21="","",Interviews!H21)</f>
        <v/>
      </c>
      <c r="D21" s="15">
        <f>IF(Interviews!U21="","",Interviews!U21)</f>
        <v/>
      </c>
      <c r="E21" s="15">
        <f>IF(Interviews!V21="","",Interviews!V21)</f>
        <v/>
      </c>
      <c r="F21" s="15">
        <f>IF(Interviews!W21="","",Interviews!W21)</f>
        <v/>
      </c>
      <c r="G21" s="15">
        <f>IF(Interviews!X21="","",Interviews!X21)</f>
        <v/>
      </c>
      <c r="H21" s="15">
        <f>IF(Interviews!Y21="","",Interviews!Y21)</f>
        <v/>
      </c>
    </row>
    <row r="22">
      <c r="A22" s="15">
        <f>IF(Interviews!C22="","",Interviews!C22)</f>
        <v/>
      </c>
      <c r="B22" s="15">
        <f>IF(Interviews!D22="","",Interviews!D22)</f>
        <v/>
      </c>
      <c r="C22" s="15">
        <f>IF(Interviews!H22="","",Interviews!H22)</f>
        <v/>
      </c>
      <c r="D22" s="15">
        <f>IF(Interviews!U22="","",Interviews!U22)</f>
        <v/>
      </c>
      <c r="E22" s="15">
        <f>IF(Interviews!V22="","",Interviews!V22)</f>
        <v/>
      </c>
      <c r="F22" s="15">
        <f>IF(Interviews!W22="","",Interviews!W22)</f>
        <v/>
      </c>
      <c r="G22" s="15">
        <f>IF(Interviews!X22="","",Interviews!X22)</f>
        <v/>
      </c>
      <c r="H22" s="15">
        <f>IF(Interviews!Y22="","",Interviews!Y22)</f>
        <v/>
      </c>
    </row>
    <row r="23">
      <c r="A23" s="15">
        <f>IF(Interviews!C23="","",Interviews!C23)</f>
        <v/>
      </c>
      <c r="B23" s="15">
        <f>IF(Interviews!D23="","",Interviews!D23)</f>
        <v/>
      </c>
      <c r="C23" s="15">
        <f>IF(Interviews!H23="","",Interviews!H23)</f>
        <v/>
      </c>
      <c r="D23" s="15">
        <f>IF(Interviews!U23="","",Interviews!U23)</f>
        <v/>
      </c>
      <c r="E23" s="15">
        <f>IF(Interviews!V23="","",Interviews!V23)</f>
        <v/>
      </c>
      <c r="F23" s="15">
        <f>IF(Interviews!W23="","",Interviews!W23)</f>
        <v/>
      </c>
      <c r="G23" s="15">
        <f>IF(Interviews!X23="","",Interviews!X23)</f>
        <v/>
      </c>
      <c r="H23" s="15">
        <f>IF(Interviews!Y23="","",Interviews!Y23)</f>
        <v/>
      </c>
    </row>
    <row r="24">
      <c r="A24" s="15">
        <f>IF(Interviews!C24="","",Interviews!C24)</f>
        <v/>
      </c>
      <c r="B24" s="15">
        <f>IF(Interviews!D24="","",Interviews!D24)</f>
        <v/>
      </c>
      <c r="C24" s="15">
        <f>IF(Interviews!H24="","",Interviews!H24)</f>
        <v/>
      </c>
      <c r="D24" s="15">
        <f>IF(Interviews!U24="","",Interviews!U24)</f>
        <v/>
      </c>
      <c r="E24" s="15">
        <f>IF(Interviews!V24="","",Interviews!V24)</f>
        <v/>
      </c>
      <c r="F24" s="15">
        <f>IF(Interviews!W24="","",Interviews!W24)</f>
        <v/>
      </c>
      <c r="G24" s="15">
        <f>IF(Interviews!X24="","",Interviews!X24)</f>
        <v/>
      </c>
      <c r="H24" s="15">
        <f>IF(Interviews!Y24="","",Interviews!Y24)</f>
        <v/>
      </c>
    </row>
    <row r="25">
      <c r="A25" s="15">
        <f>IF(Interviews!C25="","",Interviews!C25)</f>
        <v/>
      </c>
      <c r="B25" s="15">
        <f>IF(Interviews!D25="","",Interviews!D25)</f>
        <v/>
      </c>
      <c r="C25" s="15">
        <f>IF(Interviews!H25="","",Interviews!H25)</f>
        <v/>
      </c>
      <c r="D25" s="15">
        <f>IF(Interviews!U25="","",Interviews!U25)</f>
        <v/>
      </c>
      <c r="E25" s="15">
        <f>IF(Interviews!V25="","",Interviews!V25)</f>
        <v/>
      </c>
      <c r="F25" s="15">
        <f>IF(Interviews!W25="","",Interviews!W25)</f>
        <v/>
      </c>
      <c r="G25" s="15">
        <f>IF(Interviews!X25="","",Interviews!X25)</f>
        <v/>
      </c>
      <c r="H25" s="15">
        <f>IF(Interviews!Y25="","",Interviews!Y25)</f>
        <v/>
      </c>
    </row>
    <row r="26">
      <c r="A26" s="15">
        <f>IF(Interviews!C26="","",Interviews!C26)</f>
        <v/>
      </c>
      <c r="B26" s="15">
        <f>IF(Interviews!D26="","",Interviews!D26)</f>
        <v/>
      </c>
      <c r="C26" s="15">
        <f>IF(Interviews!H26="","",Interviews!H26)</f>
        <v/>
      </c>
      <c r="D26" s="15">
        <f>IF(Interviews!U26="","",Interviews!U26)</f>
        <v/>
      </c>
      <c r="E26" s="15">
        <f>IF(Interviews!V26="","",Interviews!V26)</f>
        <v/>
      </c>
      <c r="F26" s="15">
        <f>IF(Interviews!W26="","",Interviews!W26)</f>
        <v/>
      </c>
      <c r="G26" s="15">
        <f>IF(Interviews!X26="","",Interviews!X26)</f>
        <v/>
      </c>
      <c r="H26" s="15">
        <f>IF(Interviews!Y26="","",Interviews!Y26)</f>
        <v/>
      </c>
    </row>
    <row r="27">
      <c r="A27" s="15">
        <f>IF(Interviews!C27="","",Interviews!C27)</f>
        <v/>
      </c>
      <c r="B27" s="15">
        <f>IF(Interviews!D27="","",Interviews!D27)</f>
        <v/>
      </c>
      <c r="C27" s="15">
        <f>IF(Interviews!H27="","",Interviews!H27)</f>
        <v/>
      </c>
      <c r="D27" s="15">
        <f>IF(Interviews!U27="","",Interviews!U27)</f>
        <v/>
      </c>
      <c r="E27" s="15">
        <f>IF(Interviews!V27="","",Interviews!V27)</f>
        <v/>
      </c>
      <c r="F27" s="15">
        <f>IF(Interviews!W27="","",Interviews!W27)</f>
        <v/>
      </c>
      <c r="G27" s="15">
        <f>IF(Interviews!X27="","",Interviews!X27)</f>
        <v/>
      </c>
      <c r="H27" s="15">
        <f>IF(Interviews!Y27="","",Interviews!Y27)</f>
        <v/>
      </c>
    </row>
    <row r="28">
      <c r="A28" s="15">
        <f>IF(Interviews!C28="","",Interviews!C28)</f>
        <v/>
      </c>
      <c r="B28" s="15">
        <f>IF(Interviews!D28="","",Interviews!D28)</f>
        <v/>
      </c>
      <c r="C28" s="15">
        <f>IF(Interviews!H28="","",Interviews!H28)</f>
        <v/>
      </c>
      <c r="D28" s="15">
        <f>IF(Interviews!U28="","",Interviews!U28)</f>
        <v/>
      </c>
      <c r="E28" s="15">
        <f>IF(Interviews!V28="","",Interviews!V28)</f>
        <v/>
      </c>
      <c r="F28" s="15">
        <f>IF(Interviews!W28="","",Interviews!W28)</f>
        <v/>
      </c>
      <c r="G28" s="15">
        <f>IF(Interviews!X28="","",Interviews!X28)</f>
        <v/>
      </c>
      <c r="H28" s="15">
        <f>IF(Interviews!Y28="","",Interviews!Y28)</f>
        <v/>
      </c>
    </row>
    <row r="29">
      <c r="A29" s="15">
        <f>IF(Interviews!C29="","",Interviews!C29)</f>
        <v/>
      </c>
      <c r="B29" s="15">
        <f>IF(Interviews!D29="","",Interviews!D29)</f>
        <v/>
      </c>
      <c r="C29" s="15">
        <f>IF(Interviews!H29="","",Interviews!H29)</f>
        <v/>
      </c>
      <c r="D29" s="15">
        <f>IF(Interviews!U29="","",Interviews!U29)</f>
        <v/>
      </c>
      <c r="E29" s="15">
        <f>IF(Interviews!V29="","",Interviews!V29)</f>
        <v/>
      </c>
      <c r="F29" s="15">
        <f>IF(Interviews!W29="","",Interviews!W29)</f>
        <v/>
      </c>
      <c r="G29" s="15">
        <f>IF(Interviews!X29="","",Interviews!X29)</f>
        <v/>
      </c>
      <c r="H29" s="15">
        <f>IF(Interviews!Y29="","",Interviews!Y29)</f>
        <v/>
      </c>
    </row>
    <row r="30">
      <c r="A30" s="15">
        <f>IF(Interviews!C30="","",Interviews!C30)</f>
        <v/>
      </c>
      <c r="B30" s="15">
        <f>IF(Interviews!D30="","",Interviews!D30)</f>
        <v/>
      </c>
      <c r="C30" s="15">
        <f>IF(Interviews!H30="","",Interviews!H30)</f>
        <v/>
      </c>
      <c r="D30" s="15">
        <f>IF(Interviews!U30="","",Interviews!U30)</f>
        <v/>
      </c>
      <c r="E30" s="15">
        <f>IF(Interviews!V30="","",Interviews!V30)</f>
        <v/>
      </c>
      <c r="F30" s="15">
        <f>IF(Interviews!W30="","",Interviews!W30)</f>
        <v/>
      </c>
      <c r="G30" s="15">
        <f>IF(Interviews!X30="","",Interviews!X30)</f>
        <v/>
      </c>
      <c r="H30" s="15">
        <f>IF(Interviews!Y30="","",Interviews!Y30)</f>
        <v/>
      </c>
    </row>
    <row r="31">
      <c r="A31" s="15">
        <f>IF(Interviews!C31="","",Interviews!C31)</f>
        <v/>
      </c>
      <c r="B31" s="15">
        <f>IF(Interviews!D31="","",Interviews!D31)</f>
        <v/>
      </c>
      <c r="C31" s="15">
        <f>IF(Interviews!H31="","",Interviews!H31)</f>
        <v/>
      </c>
      <c r="D31" s="15">
        <f>IF(Interviews!U31="","",Interviews!U31)</f>
        <v/>
      </c>
      <c r="E31" s="15">
        <f>IF(Interviews!V31="","",Interviews!V31)</f>
        <v/>
      </c>
      <c r="F31" s="15">
        <f>IF(Interviews!W31="","",Interviews!W31)</f>
        <v/>
      </c>
      <c r="G31" s="15">
        <f>IF(Interviews!X31="","",Interviews!X31)</f>
        <v/>
      </c>
      <c r="H31" s="15">
        <f>IF(Interviews!Y31="","",Interviews!Y31)</f>
        <v/>
      </c>
    </row>
    <row r="33">
      <c r="A33" s="18" t="inlineStr">
        <is>
          <t>Interviews rated</t>
        </is>
      </c>
      <c r="D33" s="18">
        <f>COUNT(D2:D31)</f>
        <v/>
      </c>
      <c r="E33" s="18">
        <f>COUNT(E2:E31)</f>
        <v/>
      </c>
      <c r="F33" s="18">
        <f>COUNT(F2:F31)</f>
        <v/>
      </c>
      <c r="G33" s="18">
        <f>COUNT(G2:G31)</f>
        <v/>
      </c>
      <c r="H33" s="18">
        <f>COUNT(H2:H31)</f>
        <v/>
      </c>
    </row>
    <row r="34">
      <c r="A34" s="18" t="inlineStr">
        <is>
          <t>Rated 2 or more</t>
        </is>
      </c>
      <c r="D34" s="18">
        <f>COUNTIF(D2:D31,"&gt;=2")</f>
        <v/>
      </c>
      <c r="E34" s="18">
        <f>COUNTIF(E2:E31,"&gt;=2")</f>
        <v/>
      </c>
      <c r="F34" s="18">
        <f>COUNTIF(F2:F31,"&gt;=2")</f>
        <v/>
      </c>
      <c r="G34" s="18">
        <f>COUNTIF(G2:G31,"&gt;=2")</f>
        <v/>
      </c>
      <c r="H34" s="18">
        <f>COUNTIF(H2:H31,"&gt;=2")</f>
        <v/>
      </c>
    </row>
    <row r="35">
      <c r="A35" s="18" t="inlineStr">
        <is>
          <t>Buyers rating 2 or more</t>
        </is>
      </c>
      <c r="D35" s="18">
        <f>COUNTIFS($B$2:$B$31,"Buyer",D2:D31,"&gt;=2")</f>
        <v/>
      </c>
      <c r="E35" s="18">
        <f>COUNTIFS($B$2:$B$31,"Buyer",E2:E31,"&gt;=2")</f>
        <v/>
      </c>
      <c r="F35" s="18">
        <f>COUNTIFS($B$2:$B$31,"Buyer",F2:F31,"&gt;=2")</f>
        <v/>
      </c>
      <c r="G35" s="18">
        <f>COUNTIFS($B$2:$B$31,"Buyer",G2:G31,"&gt;=2")</f>
        <v/>
      </c>
      <c r="H35" s="18">
        <f>COUNTIFS($B$2:$B$31,"Buyer",H2:H31,"&gt;=2")</f>
        <v/>
      </c>
    </row>
    <row r="36">
      <c r="A36" s="18" t="inlineStr">
        <is>
          <t>Share rating 2+ (of rated)</t>
        </is>
      </c>
      <c r="D36" s="19">
        <f>IFERROR(D34/D33,"")</f>
        <v/>
      </c>
      <c r="E36" s="19">
        <f>IFERROR(E34/E33,"")</f>
        <v/>
      </c>
      <c r="F36" s="19">
        <f>IFERROR(F34/F33,"")</f>
        <v/>
      </c>
      <c r="G36" s="19">
        <f>IFERROR(G34/G33,"")</f>
        <v/>
      </c>
      <c r="H36" s="19">
        <f>IFERROR(H34/H33,"")</f>
        <v/>
      </c>
    </row>
    <row r="37">
      <c r="A37" s="18" t="inlineStr">
        <is>
          <t>Confirmed? (6+ of 10 and 3+ buyers)</t>
        </is>
      </c>
      <c r="D37" s="18">
        <f>IF(D34&gt;=6,IF(D35&gt;=3,"Confirmed","Not confirmed"),IF(D33&lt;10,"Pending","Not confirmed"))</f>
        <v/>
      </c>
      <c r="E37" s="18">
        <f>IF(E34&gt;=6,IF(E35&gt;=3,"Confirmed","Not confirmed"),IF(E33&lt;10,"Pending","Not confirmed"))</f>
        <v/>
      </c>
      <c r="F37" s="18">
        <f>IF(F34&gt;=6,IF(F35&gt;=3,"Confirmed","Not confirmed"),IF(F33&lt;10,"Pending","Not confirmed"))</f>
        <v/>
      </c>
      <c r="G37" s="18">
        <f>IF(G34&gt;=6,IF(G35&gt;=3,"Confirmed","Not confirmed"),IF(G33&lt;10,"Pending","Not confirmed"))</f>
        <v/>
      </c>
      <c r="H37" s="18">
        <f>IF(H34&gt;=6,IF(H35&gt;=3,"Confirmed","Not confirmed"),IF(H33&lt;10,"Pending","Not confirmed"))</f>
        <v/>
      </c>
    </row>
  </sheetData>
  <conditionalFormatting sqref="D2:H31">
    <cfRule type="colorScale" priority="1">
      <colorScale>
        <cfvo type="num" val="0"/>
        <cfvo type="num" val="1.5"/>
        <cfvo type="num" val="3"/>
        <color rgb="00FFFFFF"/>
        <color rgb="00FFE58A"/>
        <color rgb="0001C778"/>
      </colorScale>
    </cfRule>
  </conditionalFormatting>
  <conditionalFormatting sqref="D37:H37">
    <cfRule type="cellIs" priority="2" operator="equal" dxfId="5">
      <formula>"Confirmed"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6EFB"/>
    <outlinePr summaryBelow="1" summaryRight="1"/>
    <pageSetUpPr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11" customWidth="1" min="4" max="4"/>
    <col width="13" customWidth="1" min="5" max="5"/>
    <col width="22" customWidth="1" min="6" max="6"/>
    <col width="24" customWidth="1" min="7" max="7"/>
    <col width="40" customWidth="1" min="8" max="8"/>
    <col width="26" customWidth="1" min="9" max="9"/>
    <col width="16" customWidth="1" min="10" max="10"/>
    <col width="30" customWidth="1" min="11" max="11"/>
  </cols>
  <sheetData>
    <row r="1" ht="32" customHeight="1">
      <c r="A1" s="14" t="inlineStr">
        <is>
          <t>Org ID</t>
        </is>
      </c>
      <c r="B1" s="14" t="inlineStr">
        <is>
          <t>Organisation</t>
        </is>
      </c>
      <c r="C1" s="14" t="inlineStr">
        <is>
          <t>Type</t>
        </is>
      </c>
      <c r="D1" s="14" t="inlineStr">
        <is>
          <t>Segment</t>
        </is>
      </c>
      <c r="E1" s="14" t="inlineStr">
        <is>
          <t>Setting</t>
        </is>
      </c>
      <c r="F1" s="14" t="inlineStr">
        <is>
          <t>Size</t>
        </is>
      </c>
      <c r="G1" s="14" t="inlineStr">
        <is>
          <t>Size source</t>
        </is>
      </c>
      <c r="H1" s="14" t="inlineStr">
        <is>
          <t>Why it fits</t>
        </is>
      </c>
      <c r="I1" s="14" t="inlineStr">
        <is>
          <t>Link</t>
        </is>
      </c>
      <c r="J1" s="14" t="inlineStr">
        <is>
          <t>Permission to post</t>
        </is>
      </c>
      <c r="K1" s="14" t="inlineStr">
        <is>
          <t>Notes</t>
        </is>
      </c>
    </row>
    <row r="2">
      <c r="A2" s="15" t="inlineStr">
        <is>
          <t>G1</t>
        </is>
      </c>
      <c r="B2" s="15" t="inlineStr">
        <is>
          <t>Ghana Code Club</t>
        </is>
      </c>
      <c r="C2" s="15" t="inlineStr">
        <is>
          <t>Teacher and mentor network</t>
        </is>
      </c>
      <c r="D2" s="15" t="inlineStr">
        <is>
          <t>User</t>
        </is>
      </c>
      <c r="E2" s="15" t="inlineStr">
        <is>
          <t>Constrained</t>
        </is>
      </c>
      <c r="F2" s="15" t="inlineStr">
        <is>
          <t>7,000 teachers · 22 centres</t>
        </is>
      </c>
      <c r="G2" s="15" t="inlineStr">
        <is>
          <t>Programme reach, self-reported</t>
        </is>
      </c>
      <c r="H2" s="15" t="inlineStr">
        <is>
          <t>Ghanaian teachers running children's coding clubs: our users and programme owners.</t>
        </is>
      </c>
      <c r="I2" s="20">
        <f>HYPERLINK("https://ghanacodeclub.org/","ghanacodeclub.org")</f>
        <v/>
      </c>
      <c r="J2" s="15" t="inlineStr">
        <is>
          <t>Not needed</t>
        </is>
      </c>
      <c r="K2" s="15" t="inlineStr"/>
    </row>
    <row r="3">
      <c r="A3" s="15" t="inlineStr">
        <is>
          <t>G2</t>
        </is>
      </c>
      <c r="B3" s="15" t="inlineStr">
        <is>
          <t>Ghana Robotics Academy Foundation</t>
        </is>
      </c>
      <c r="C3" s="15" t="inlineStr">
        <is>
          <t>Organisation and club coaches</t>
        </is>
      </c>
      <c r="D3" s="15" t="inlineStr">
        <is>
          <t>Buyer</t>
        </is>
      </c>
      <c r="E3" s="15" t="inlineStr">
        <is>
          <t>Constrained</t>
        </is>
      </c>
      <c r="F3" s="15" t="inlineStr">
        <is>
          <t>Robofest clubs</t>
        </is>
      </c>
      <c r="G3" s="15" t="inlineStr">
        <is>
          <t>Member count not public</t>
        </is>
      </c>
      <c r="H3" s="15" t="inlineStr">
        <is>
          <t>Club owners and coaches decide what to run and pay for: our buyers.</t>
        </is>
      </c>
      <c r="I3" s="20">
        <f>HYPERLINK("https://foundation.ghanarobotics.org/","foundation.ghanarobotics.org")</f>
        <v/>
      </c>
      <c r="J3" s="15" t="inlineStr">
        <is>
          <t>Not needed</t>
        </is>
      </c>
      <c r="K3" s="15" t="inlineStr"/>
    </row>
    <row r="4">
      <c r="A4" s="15" t="inlineStr">
        <is>
          <t>G3</t>
        </is>
      </c>
      <c r="B4" s="15" t="inlineStr">
        <is>
          <t>Ghana Library Authority</t>
        </is>
      </c>
      <c r="C4" s="15" t="inlineStr">
        <is>
          <t>Librarian trainers</t>
        </is>
      </c>
      <c r="D4" s="15" t="inlineStr">
        <is>
          <t>Host</t>
        </is>
      </c>
      <c r="E4" s="15" t="inlineStr">
        <is>
          <t>Constrained</t>
        </is>
      </c>
      <c r="F4" s="15" t="inlineStr">
        <is>
          <t>15 libraries</t>
        </is>
      </c>
      <c r="G4" s="15" t="inlineStr">
        <is>
          <t>Head librarians and ICT coordinators</t>
        </is>
      </c>
      <c r="H4" s="15" t="inlineStr">
        <is>
          <t>Library-hosted recurring sessions with few devices: an institutional host.</t>
        </is>
      </c>
      <c r="I4" s="20">
        <f>HYPERLINK("https://www.library.gov.gh/","library.gov.gh")</f>
        <v/>
      </c>
      <c r="J4" s="15" t="inlineStr">
        <is>
          <t>Not needed</t>
        </is>
      </c>
      <c r="K4" s="15" t="inlineStr"/>
    </row>
    <row r="5">
      <c r="A5" s="15" t="inlineStr">
        <is>
          <t>G4</t>
        </is>
      </c>
      <c r="B5" s="15" t="inlineStr">
        <is>
          <t>Ghana Society for Education and Technology</t>
        </is>
      </c>
      <c r="C5" s="15" t="inlineStr">
        <is>
          <t>Teacher association</t>
        </is>
      </c>
      <c r="D5" s="15" t="inlineStr">
        <is>
          <t>User</t>
        </is>
      </c>
      <c r="E5" s="15" t="inlineStr">
        <is>
          <t>Constrained</t>
        </is>
      </c>
      <c r="F5" s="15" t="inlineStr">
        <is>
          <t>~20,000 members</t>
        </is>
      </c>
      <c r="G5" s="15" t="inlineStr">
        <is>
          <t>Self-reported, by 2022</t>
        </is>
      </c>
      <c r="H5" s="15" t="inlineStr">
        <is>
          <t>Tech-interested Ghanaian teachers: users and early adopters.</t>
        </is>
      </c>
      <c r="I5" s="20">
        <f>HYPERLINK("https://gset.education/","gset.education")</f>
        <v/>
      </c>
      <c r="J5" s="15" t="inlineStr">
        <is>
          <t>Not needed</t>
        </is>
      </c>
      <c r="K5" s="15" t="inlineStr"/>
    </row>
    <row r="6">
      <c r="A6" s="15" t="inlineStr">
        <is>
          <t>G5</t>
        </is>
      </c>
      <c r="B6" s="15" t="inlineStr">
        <is>
          <t>The MakersPlace (Accra)</t>
        </is>
      </c>
      <c r="C6" s="15" t="inlineStr">
        <is>
          <t>STEAM programme</t>
        </is>
      </c>
      <c r="D6" s="15" t="inlineStr">
        <is>
          <t>Buyer</t>
        </is>
      </c>
      <c r="E6" s="15" t="inlineStr">
        <is>
          <t>Constrained</t>
        </is>
      </c>
      <c r="F6" s="15" t="inlineStr">
        <is>
          <t>10,000+ learners</t>
        </is>
      </c>
      <c r="G6" s="15" t="inlineStr">
        <is>
          <t>Self-reported since 2019; 100+ teachers trained</t>
        </is>
      </c>
      <c r="H6" s="15" t="inlineStr">
        <is>
          <t>A peer programme owner with parents and facilitators: buyer and user.</t>
        </is>
      </c>
      <c r="I6" s="20">
        <f>HYPERLINK("https://makersplacegh.com/","makersplacegh.com")</f>
        <v/>
      </c>
      <c r="J6" s="15" t="inlineStr">
        <is>
          <t>Not needed</t>
        </is>
      </c>
      <c r="K6" s="15" t="inlineStr"/>
    </row>
    <row r="7">
      <c r="A7" s="15" t="inlineStr">
        <is>
          <t>F1</t>
        </is>
      </c>
      <c r="B7" s="15" t="inlineStr">
        <is>
          <t>MakerSpaces and the Participatory Library</t>
        </is>
      </c>
      <c r="C7" s="15" t="inlineStr">
        <is>
          <t>Facebook group</t>
        </is>
      </c>
      <c r="D7" s="15" t="inlineStr">
        <is>
          <t>User</t>
        </is>
      </c>
      <c r="E7" s="15" t="inlineStr">
        <is>
          <t>Tech-rich</t>
        </is>
      </c>
      <c r="F7" s="15" t="inlineStr">
        <is>
          <t>1,257 members</t>
        </is>
      </c>
      <c r="G7" s="15" t="inlineStr">
        <is>
          <t>Indexed group page, undated</t>
        </is>
      </c>
      <c r="H7" s="15" t="inlineStr">
        <is>
          <t>Library maker staff in tech-rich settings: our contrast site.</t>
        </is>
      </c>
      <c r="I7" s="20">
        <f>HYPERLINK("https://www.facebook.com/groups/librarymaker/","facebook.com/groups/librarymaker")</f>
        <v/>
      </c>
      <c r="J7" s="15" t="inlineStr">
        <is>
          <t>To request</t>
        </is>
      </c>
      <c r="K7" s="15" t="inlineStr"/>
    </row>
    <row r="8">
      <c r="A8" s="15" t="inlineStr">
        <is>
          <t>M1</t>
        </is>
      </c>
      <c r="B8" s="15" t="inlineStr">
        <is>
          <t>micro:bit Champions</t>
        </is>
      </c>
      <c r="C8" s="15" t="inlineStr">
        <is>
          <t>Practitioner network</t>
        </is>
      </c>
      <c r="D8" s="15" t="inlineStr">
        <is>
          <t>User</t>
        </is>
      </c>
      <c r="E8" s="15" t="inlineStr">
        <is>
          <t>Both</t>
        </is>
      </c>
      <c r="F8" s="15" t="inlineStr">
        <is>
          <t>382 educators · 51 countries</t>
        </is>
      </c>
      <c r="G8" s="15" t="inlineStr">
        <is>
          <t>Foundation's own figure</t>
        </is>
      </c>
      <c r="H8" s="15" t="inlineStr">
        <is>
          <t>Educators running physical computing worldwide, including Ghana.</t>
        </is>
      </c>
      <c r="I8" s="20">
        <f>HYPERLINK("https://microbit.org/champions/","microbit.org/champions")</f>
        <v/>
      </c>
      <c r="J8" s="15" t="inlineStr">
        <is>
          <t>To request</t>
        </is>
      </c>
      <c r="K8" s="15" t="inlineStr"/>
    </row>
    <row r="9">
      <c r="A9" s="15" t="inlineStr">
        <is>
          <t>M2</t>
        </is>
      </c>
      <c r="B9" s="15" t="inlineStr">
        <is>
          <t>Scratch Educator Meetups</t>
        </is>
      </c>
      <c r="C9" s="15" t="inlineStr">
        <is>
          <t>Meetup network</t>
        </is>
      </c>
      <c r="D9" s="15" t="inlineStr">
        <is>
          <t>User</t>
        </is>
      </c>
      <c r="E9" s="15" t="inlineStr">
        <is>
          <t>Tech-rich</t>
        </is>
      </c>
      <c r="F9" s="15" t="inlineStr">
        <is>
          <t>4,000+ members · 44 groups</t>
        </is>
      </c>
      <c r="G9" s="15" t="inlineStr">
        <is>
          <t>Historical network figure</t>
        </is>
      </c>
      <c r="H9" s="15" t="inlineStr">
        <is>
          <t>Educators using Scratch who run hands-on sessions.</t>
        </is>
      </c>
      <c r="I9" s="20">
        <f>HYPERLINK("https://www.scratchfoundation.org/scratch-meetups-learn","scratchfoundation.org")</f>
        <v/>
      </c>
      <c r="J9" s="15" t="inlineStr">
        <is>
          <t>Not needed</t>
        </is>
      </c>
      <c r="K9" s="15" t="inlineStr"/>
    </row>
    <row r="10">
      <c r="A10" s="15" t="inlineStr">
        <is>
          <t>T3</t>
        </is>
      </c>
      <c r="B10" s="15" t="inlineStr">
        <is>
          <t>r/homeschool</t>
        </is>
      </c>
      <c r="C10" s="15" t="inlineStr">
        <is>
          <t>Reddit community</t>
        </is>
      </c>
      <c r="D10" s="15" t="inlineStr">
        <is>
          <t>Buyer</t>
        </is>
      </c>
      <c r="E10" s="15" t="inlineStr">
        <is>
          <t>Tech-rich</t>
        </is>
      </c>
      <c r="F10" s="15" t="inlineStr">
        <is>
          <t>~238,000 subscribers</t>
        </is>
      </c>
      <c r="G10" s="15" t="inlineStr">
        <is>
          <t>Cached third-party figure</t>
        </is>
      </c>
      <c r="H10" s="15" t="inlineStr">
        <is>
          <t>Parents of 9–12s: the family-offer test and a contrast.</t>
        </is>
      </c>
      <c r="I10" s="20">
        <f>HYPERLINK("https://www.reddit.com/r/homeschool/","reddit.com/r/homeschool")</f>
        <v/>
      </c>
      <c r="J10" s="15" t="inlineStr">
        <is>
          <t>To request</t>
        </is>
      </c>
      <c r="K10" s="15" t="inlineStr"/>
    </row>
    <row r="11">
      <c r="A11" s="15" t="inlineStr">
        <is>
          <t>R1</t>
        </is>
      </c>
      <c r="B11" s="15" t="inlineStr">
        <is>
          <t>International Society of the Learning Sciences</t>
        </is>
      </c>
      <c r="C11" s="15" t="inlineStr">
        <is>
          <t>Research society</t>
        </is>
      </c>
      <c r="D11" s="15" t="inlineStr">
        <is>
          <t>Research</t>
        </is>
      </c>
      <c r="E11" s="15" t="inlineStr">
        <is>
          <t>Both</t>
        </is>
      </c>
      <c r="F11" s="15" t="inlineStr">
        <is>
          <t>Global</t>
        </is>
      </c>
      <c r="G11" s="15" t="inlineStr">
        <is>
          <t>Member count not public</t>
        </is>
      </c>
      <c r="H11" s="15" t="inlineStr">
        <is>
          <t>Researchers who can set our sample and transfer measures.</t>
        </is>
      </c>
      <c r="I11" s="20">
        <f>HYPERLINK("https://www.isls.org/","isls.org")</f>
        <v/>
      </c>
      <c r="J11" s="15" t="inlineStr">
        <is>
          <t>Not needed</t>
        </is>
      </c>
      <c r="K11" s="15" t="inlineStr"/>
    </row>
    <row r="12">
      <c r="A12" s="15" t="inlineStr">
        <is>
          <t>CC</t>
        </is>
      </c>
      <c r="B12" s="15" t="inlineStr">
        <is>
          <t>Cape Coast programme owners</t>
        </is>
      </c>
      <c r="C12" s="15" t="inlineStr">
        <is>
          <t>In person</t>
        </is>
      </c>
      <c r="D12" s="15" t="inlineStr">
        <is>
          <t>Buyer</t>
        </is>
      </c>
      <c r="E12" s="15" t="inlineStr">
        <is>
          <t>Constrained</t>
        </is>
      </c>
      <c r="F12" s="15" t="inlineStr">
        <is>
          <t>No online group</t>
        </is>
      </c>
      <c r="G12" s="15" t="inlineStr">
        <is>
          <t>Canvassed in person</t>
        </is>
      </c>
      <c r="H12" s="15" t="inlineStr">
        <is>
          <t>First buyers; they gather at schools and churches, not online</t>
        </is>
      </c>
      <c r="I12" s="20" t="inlineStr"/>
      <c r="J12" s="15" t="inlineStr">
        <is>
          <t>Not needed</t>
        </is>
      </c>
      <c r="K12" s="15" t="inlineStr">
        <is>
          <t>Canvass Mon 28 – Tue 29 Sep</t>
        </is>
      </c>
    </row>
  </sheetData>
  <dataValidations count="3">
    <dataValidation sqref="D2:D200" showDropDown="0" showInputMessage="0" showErrorMessage="0" allowBlank="1" type="list">
      <formula1>"Buyer,User,Host,Research"</formula1>
    </dataValidation>
    <dataValidation sqref="E2:E200" showDropDown="0" showInputMessage="0" showErrorMessage="0" allowBlank="1" type="list">
      <formula1>"Constrained,Tech-rich,Both"</formula1>
    </dataValidation>
    <dataValidation sqref="J2:J200" showDropDown="0" showInputMessage="0" showErrorMessage="0" allowBlank="1" type="list">
      <formula1>"Not needed,To request,Requested,Granted,Refused"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16" customWidth="1" min="5" max="5"/>
    <col width="8" customWidth="1" min="6" max="6"/>
    <col width="8" customWidth="1" min="7" max="7"/>
    <col width="14" customWidth="1" min="8" max="8"/>
  </cols>
  <sheetData>
    <row r="1" ht="32" customHeight="1">
      <c r="A1" s="14" t="inlineStr">
        <is>
          <t>Segment</t>
        </is>
      </c>
      <c r="B1" s="14" t="inlineStr">
        <is>
          <t>Setting</t>
        </is>
      </c>
      <c r="C1" s="14" t="inlineStr">
        <is>
          <t>Channel</t>
        </is>
      </c>
      <c r="D1" s="14" t="inlineStr">
        <is>
          <t>Outcome</t>
        </is>
      </c>
      <c r="E1" s="14" t="inlineStr">
        <is>
          <t>Interview status</t>
        </is>
      </c>
      <c r="F1" s="14" t="inlineStr">
        <is>
          <t>Yes/No</t>
        </is>
      </c>
      <c r="G1" s="14" t="inlineStr">
        <is>
          <t>Rating</t>
        </is>
      </c>
      <c r="H1" s="14" t="inlineStr">
        <is>
          <t>Permission</t>
        </is>
      </c>
    </row>
    <row r="2">
      <c r="A2" s="9" t="inlineStr">
        <is>
          <t>Buyer</t>
        </is>
      </c>
      <c r="B2" s="9" t="inlineStr">
        <is>
          <t>Constrained</t>
        </is>
      </c>
      <c r="C2" s="9" t="inlineStr">
        <is>
          <t>Email</t>
        </is>
      </c>
      <c r="D2" s="9" t="inlineStr">
        <is>
          <t>Open</t>
        </is>
      </c>
      <c r="E2" s="9" t="inlineStr">
        <is>
          <t>Scheduled</t>
        </is>
      </c>
      <c r="F2" s="9" t="inlineStr">
        <is>
          <t>Yes</t>
        </is>
      </c>
      <c r="G2" s="9" t="inlineStr">
        <is>
          <t>0</t>
        </is>
      </c>
      <c r="H2" s="9" t="inlineStr">
        <is>
          <t>Not needed</t>
        </is>
      </c>
    </row>
    <row r="3">
      <c r="A3" s="9" t="inlineStr">
        <is>
          <t>User</t>
        </is>
      </c>
      <c r="B3" s="9" t="inlineStr">
        <is>
          <t>Tech-rich</t>
        </is>
      </c>
      <c r="C3" s="9" t="inlineStr">
        <is>
          <t>Formal letter</t>
        </is>
      </c>
      <c r="D3" s="9" t="inlineStr">
        <is>
          <t>Declined</t>
        </is>
      </c>
      <c r="E3" s="9" t="inlineStr">
        <is>
          <t>Done</t>
        </is>
      </c>
      <c r="F3" s="9" t="inlineStr">
        <is>
          <t>No</t>
        </is>
      </c>
      <c r="G3" s="9" t="inlineStr">
        <is>
          <t>1</t>
        </is>
      </c>
      <c r="H3" s="9" t="inlineStr">
        <is>
          <t>To request</t>
        </is>
      </c>
    </row>
    <row r="4">
      <c r="A4" s="9" t="inlineStr">
        <is>
          <t>Host</t>
        </is>
      </c>
      <c r="B4" s="9" t="inlineStr">
        <is>
          <t>Both</t>
        </is>
      </c>
      <c r="C4" s="9" t="inlineStr">
        <is>
          <t>Facebook group</t>
        </is>
      </c>
      <c r="D4" s="9" t="inlineStr">
        <is>
          <t>Not sent</t>
        </is>
      </c>
      <c r="E4" s="9" t="inlineStr">
        <is>
          <t>Rescheduled</t>
        </is>
      </c>
      <c r="G4" s="9" t="inlineStr">
        <is>
          <t>2</t>
        </is>
      </c>
      <c r="H4" s="9" t="inlineStr">
        <is>
          <t>Requested</t>
        </is>
      </c>
    </row>
    <row r="5">
      <c r="A5" s="9" t="inlineStr">
        <is>
          <t>Research</t>
        </is>
      </c>
      <c r="C5" s="9" t="inlineStr">
        <is>
          <t>Community post</t>
        </is>
      </c>
      <c r="D5" s="9" t="inlineStr">
        <is>
          <t>Bounced</t>
        </is>
      </c>
      <c r="E5" s="9" t="inlineStr">
        <is>
          <t>No-show</t>
        </is>
      </c>
      <c r="G5" s="9" t="inlineStr">
        <is>
          <t>3</t>
        </is>
      </c>
      <c r="H5" s="9" t="inlineStr">
        <is>
          <t>Granted</t>
        </is>
      </c>
    </row>
    <row r="6">
      <c r="C6" s="9" t="inlineStr">
        <is>
          <t>LinkedIn</t>
        </is>
      </c>
      <c r="D6" s="9" t="inlineStr">
        <is>
          <t>Wrong person</t>
        </is>
      </c>
      <c r="E6" s="9" t="inlineStr">
        <is>
          <t>Cancelled</t>
        </is>
      </c>
      <c r="H6" s="9" t="inlineStr">
        <is>
          <t>Refused</t>
        </is>
      </c>
    </row>
    <row r="7">
      <c r="C7" s="9" t="inlineStr">
        <is>
          <t>Forum / DM</t>
        </is>
      </c>
    </row>
    <row r="8">
      <c r="C8" s="9" t="inlineStr">
        <is>
          <t>Reddit</t>
        </is>
      </c>
    </row>
    <row r="9">
      <c r="C9" s="9" t="inlineStr">
        <is>
          <t>In person</t>
        </is>
      </c>
    </row>
    <row r="10">
      <c r="C10" s="9" t="inlineStr">
        <is>
          <t>Phone call</t>
        </is>
      </c>
    </row>
    <row r="11">
      <c r="C11" s="9" t="inlineStr">
        <is>
          <t>WhatsApp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2026-09-28T04:39:34Z</dcterms:created>
  <dcterms:modified xmlns:dcterms="http://purl.org/dc/terms/" xmlns:xsi="http://www.w3.org/2001/XMLSchema-instance" xsi:type="dcterms:W3CDTF">2026-09-28T04:39:34Z</dcterms:modified>
</cp:coreProperties>
</file>